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hotel-code\hotel-cmscontrol\"/>
    </mc:Choice>
  </mc:AlternateContent>
  <xr:revisionPtr revIDLastSave="0" documentId="13_ncr:1_{89017A82-9D61-47A8-ACED-8EF54DCC56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기준가격" sheetId="1" r:id="rId1"/>
    <sheet name="가격" sheetId="3" r:id="rId2"/>
  </sheets>
  <definedNames>
    <definedName name="_xlnm._FilterDatabase" localSheetId="0" hidden="1">기준가격!$A$1:$H$1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1" i="1" l="1"/>
  <c r="K401" i="1"/>
  <c r="L401" i="1"/>
  <c r="M401" i="1"/>
  <c r="N401" i="1"/>
  <c r="O401" i="1"/>
  <c r="P401" i="1"/>
  <c r="J402" i="1"/>
  <c r="K402" i="1"/>
  <c r="L402" i="1"/>
  <c r="M402" i="1"/>
  <c r="N402" i="1"/>
  <c r="O402" i="1"/>
  <c r="P402" i="1"/>
  <c r="J403" i="1"/>
  <c r="K403" i="1"/>
  <c r="L403" i="1"/>
  <c r="M403" i="1"/>
  <c r="N403" i="1"/>
  <c r="O403" i="1"/>
  <c r="P403" i="1"/>
  <c r="J404" i="1"/>
  <c r="K404" i="1"/>
  <c r="L404" i="1"/>
  <c r="M404" i="1"/>
  <c r="N404" i="1"/>
  <c r="O404" i="1"/>
  <c r="P404" i="1"/>
  <c r="J405" i="1"/>
  <c r="K405" i="1"/>
  <c r="L405" i="1"/>
  <c r="M405" i="1"/>
  <c r="N405" i="1"/>
  <c r="O405" i="1"/>
  <c r="P405" i="1"/>
  <c r="J406" i="1"/>
  <c r="K406" i="1"/>
  <c r="L406" i="1"/>
  <c r="M406" i="1"/>
  <c r="N406" i="1"/>
  <c r="O406" i="1"/>
  <c r="P406" i="1"/>
  <c r="J407" i="1"/>
  <c r="K407" i="1"/>
  <c r="L407" i="1"/>
  <c r="M407" i="1"/>
  <c r="N407" i="1"/>
  <c r="O407" i="1"/>
  <c r="P407" i="1"/>
  <c r="J408" i="1"/>
  <c r="K408" i="1"/>
  <c r="L408" i="1"/>
  <c r="M408" i="1"/>
  <c r="N408" i="1"/>
  <c r="O408" i="1"/>
  <c r="P408" i="1"/>
  <c r="J409" i="1"/>
  <c r="K409" i="1"/>
  <c r="L409" i="1"/>
  <c r="M409" i="1"/>
  <c r="N409" i="1"/>
  <c r="O409" i="1"/>
  <c r="P409" i="1"/>
  <c r="J410" i="1"/>
  <c r="K410" i="1"/>
  <c r="L410" i="1"/>
  <c r="M410" i="1"/>
  <c r="N410" i="1"/>
  <c r="O410" i="1"/>
  <c r="P410" i="1"/>
  <c r="J411" i="1"/>
  <c r="K411" i="1"/>
  <c r="L411" i="1"/>
  <c r="M411" i="1"/>
  <c r="N411" i="1"/>
  <c r="O411" i="1"/>
  <c r="P411" i="1"/>
  <c r="J412" i="1"/>
  <c r="K412" i="1"/>
  <c r="L412" i="1"/>
  <c r="M412" i="1"/>
  <c r="N412" i="1"/>
  <c r="O412" i="1"/>
  <c r="P412" i="1"/>
  <c r="J413" i="1"/>
  <c r="K413" i="1"/>
  <c r="L413" i="1"/>
  <c r="M413" i="1"/>
  <c r="N413" i="1"/>
  <c r="O413" i="1"/>
  <c r="P413" i="1"/>
  <c r="J414" i="1"/>
  <c r="K414" i="1"/>
  <c r="L414" i="1"/>
  <c r="M414" i="1"/>
  <c r="N414" i="1"/>
  <c r="O414" i="1"/>
  <c r="P414" i="1"/>
  <c r="J415" i="1"/>
  <c r="K415" i="1"/>
  <c r="L415" i="1"/>
  <c r="M415" i="1"/>
  <c r="N415" i="1"/>
  <c r="O415" i="1"/>
  <c r="P415" i="1"/>
  <c r="J416" i="1"/>
  <c r="K416" i="1"/>
  <c r="L416" i="1"/>
  <c r="M416" i="1"/>
  <c r="N416" i="1"/>
  <c r="O416" i="1"/>
  <c r="P416" i="1"/>
  <c r="J417" i="1"/>
  <c r="K417" i="1"/>
  <c r="L417" i="1"/>
  <c r="M417" i="1"/>
  <c r="N417" i="1"/>
  <c r="O417" i="1"/>
  <c r="P417" i="1"/>
  <c r="J418" i="1"/>
  <c r="K418" i="1"/>
  <c r="L418" i="1"/>
  <c r="M418" i="1"/>
  <c r="N418" i="1"/>
  <c r="O418" i="1"/>
  <c r="P418" i="1"/>
  <c r="J419" i="1"/>
  <c r="K419" i="1"/>
  <c r="L419" i="1"/>
  <c r="M419" i="1"/>
  <c r="N419" i="1"/>
  <c r="O419" i="1"/>
  <c r="P419" i="1"/>
  <c r="J420" i="1"/>
  <c r="K420" i="1"/>
  <c r="L420" i="1"/>
  <c r="M420" i="1"/>
  <c r="N420" i="1"/>
  <c r="O420" i="1"/>
  <c r="P420" i="1"/>
  <c r="J421" i="1"/>
  <c r="K421" i="1"/>
  <c r="L421" i="1"/>
  <c r="M421" i="1"/>
  <c r="N421" i="1"/>
  <c r="O421" i="1"/>
  <c r="P421" i="1"/>
  <c r="J422" i="1"/>
  <c r="K422" i="1"/>
  <c r="L422" i="1"/>
  <c r="M422" i="1"/>
  <c r="N422" i="1"/>
  <c r="O422" i="1"/>
  <c r="P422" i="1"/>
  <c r="J423" i="1"/>
  <c r="K423" i="1"/>
  <c r="L423" i="1"/>
  <c r="M423" i="1"/>
  <c r="N423" i="1"/>
  <c r="O423" i="1"/>
  <c r="P423" i="1"/>
  <c r="J424" i="1"/>
  <c r="K424" i="1"/>
  <c r="L424" i="1"/>
  <c r="M424" i="1"/>
  <c r="N424" i="1"/>
  <c r="O424" i="1"/>
  <c r="P424" i="1"/>
  <c r="J425" i="1"/>
  <c r="K425" i="1"/>
  <c r="L425" i="1"/>
  <c r="M425" i="1"/>
  <c r="N425" i="1"/>
  <c r="O425" i="1"/>
  <c r="P425" i="1"/>
  <c r="J426" i="1"/>
  <c r="K426" i="1"/>
  <c r="L426" i="1"/>
  <c r="M426" i="1"/>
  <c r="N426" i="1"/>
  <c r="O426" i="1"/>
  <c r="P426" i="1"/>
  <c r="J427" i="1"/>
  <c r="K427" i="1"/>
  <c r="L427" i="1"/>
  <c r="M427" i="1"/>
  <c r="N427" i="1"/>
  <c r="O427" i="1"/>
  <c r="P427" i="1"/>
  <c r="J428" i="1"/>
  <c r="K428" i="1"/>
  <c r="L428" i="1"/>
  <c r="M428" i="1"/>
  <c r="N428" i="1"/>
  <c r="O428" i="1"/>
  <c r="P428" i="1"/>
  <c r="J429" i="1"/>
  <c r="K429" i="1"/>
  <c r="L429" i="1"/>
  <c r="M429" i="1"/>
  <c r="N429" i="1"/>
  <c r="O429" i="1"/>
  <c r="P429" i="1"/>
  <c r="J430" i="1"/>
  <c r="K430" i="1"/>
  <c r="L430" i="1"/>
  <c r="M430" i="1"/>
  <c r="N430" i="1"/>
  <c r="O430" i="1"/>
  <c r="P430" i="1"/>
  <c r="J431" i="1"/>
  <c r="K431" i="1"/>
  <c r="L431" i="1"/>
  <c r="M431" i="1"/>
  <c r="N431" i="1"/>
  <c r="O431" i="1"/>
  <c r="P431" i="1"/>
  <c r="J432" i="1"/>
  <c r="K432" i="1"/>
  <c r="L432" i="1"/>
  <c r="M432" i="1"/>
  <c r="N432" i="1"/>
  <c r="O432" i="1"/>
  <c r="P432" i="1"/>
  <c r="J433" i="1"/>
  <c r="K433" i="1"/>
  <c r="L433" i="1"/>
  <c r="M433" i="1"/>
  <c r="N433" i="1"/>
  <c r="O433" i="1"/>
  <c r="P433" i="1"/>
  <c r="J434" i="1"/>
  <c r="K434" i="1"/>
  <c r="L434" i="1"/>
  <c r="M434" i="1"/>
  <c r="N434" i="1"/>
  <c r="O434" i="1"/>
  <c r="P434" i="1"/>
  <c r="J435" i="1"/>
  <c r="K435" i="1"/>
  <c r="L435" i="1"/>
  <c r="M435" i="1"/>
  <c r="N435" i="1"/>
  <c r="O435" i="1"/>
  <c r="P435" i="1"/>
  <c r="J436" i="1"/>
  <c r="K436" i="1"/>
  <c r="L436" i="1"/>
  <c r="M436" i="1"/>
  <c r="N436" i="1"/>
  <c r="O436" i="1"/>
  <c r="P436" i="1"/>
  <c r="J437" i="1"/>
  <c r="K437" i="1"/>
  <c r="L437" i="1"/>
  <c r="M437" i="1"/>
  <c r="N437" i="1"/>
  <c r="O437" i="1"/>
  <c r="P437" i="1"/>
  <c r="J438" i="1"/>
  <c r="K438" i="1"/>
  <c r="L438" i="1"/>
  <c r="M438" i="1"/>
  <c r="N438" i="1"/>
  <c r="O438" i="1"/>
  <c r="P438" i="1"/>
  <c r="J439" i="1"/>
  <c r="K439" i="1"/>
  <c r="L439" i="1"/>
  <c r="M439" i="1"/>
  <c r="N439" i="1"/>
  <c r="O439" i="1"/>
  <c r="P439" i="1"/>
  <c r="J440" i="1"/>
  <c r="K440" i="1"/>
  <c r="L440" i="1"/>
  <c r="M440" i="1"/>
  <c r="N440" i="1"/>
  <c r="O440" i="1"/>
  <c r="P440" i="1"/>
  <c r="J441" i="1"/>
  <c r="K441" i="1"/>
  <c r="L441" i="1"/>
  <c r="M441" i="1"/>
  <c r="N441" i="1"/>
  <c r="O441" i="1"/>
  <c r="P441" i="1"/>
  <c r="J442" i="1"/>
  <c r="K442" i="1"/>
  <c r="L442" i="1"/>
  <c r="M442" i="1"/>
  <c r="N442" i="1"/>
  <c r="O442" i="1"/>
  <c r="P442" i="1"/>
  <c r="J443" i="1"/>
  <c r="K443" i="1"/>
  <c r="L443" i="1"/>
  <c r="M443" i="1"/>
  <c r="N443" i="1"/>
  <c r="O443" i="1"/>
  <c r="P443" i="1"/>
  <c r="J444" i="1"/>
  <c r="K444" i="1"/>
  <c r="L444" i="1"/>
  <c r="M444" i="1"/>
  <c r="N444" i="1"/>
  <c r="O444" i="1"/>
  <c r="P444" i="1"/>
  <c r="J445" i="1"/>
  <c r="K445" i="1"/>
  <c r="L445" i="1"/>
  <c r="M445" i="1"/>
  <c r="N445" i="1"/>
  <c r="O445" i="1"/>
  <c r="P445" i="1"/>
  <c r="J446" i="1"/>
  <c r="K446" i="1"/>
  <c r="L446" i="1"/>
  <c r="M446" i="1"/>
  <c r="N446" i="1"/>
  <c r="O446" i="1"/>
  <c r="P446" i="1"/>
  <c r="J447" i="1"/>
  <c r="K447" i="1"/>
  <c r="L447" i="1"/>
  <c r="M447" i="1"/>
  <c r="N447" i="1"/>
  <c r="O447" i="1"/>
  <c r="P447" i="1"/>
  <c r="J448" i="1"/>
  <c r="K448" i="1"/>
  <c r="L448" i="1"/>
  <c r="M448" i="1"/>
  <c r="N448" i="1"/>
  <c r="O448" i="1"/>
  <c r="P448" i="1"/>
  <c r="J449" i="1"/>
  <c r="K449" i="1"/>
  <c r="L449" i="1"/>
  <c r="M449" i="1"/>
  <c r="N449" i="1"/>
  <c r="O449" i="1"/>
  <c r="P449" i="1"/>
  <c r="J450" i="1"/>
  <c r="K450" i="1"/>
  <c r="L450" i="1"/>
  <c r="M450" i="1"/>
  <c r="N450" i="1"/>
  <c r="O450" i="1"/>
  <c r="P450" i="1"/>
  <c r="J451" i="1"/>
  <c r="K451" i="1"/>
  <c r="L451" i="1"/>
  <c r="M451" i="1"/>
  <c r="N451" i="1"/>
  <c r="O451" i="1"/>
  <c r="P451" i="1"/>
  <c r="J452" i="1"/>
  <c r="K452" i="1"/>
  <c r="L452" i="1"/>
  <c r="M452" i="1"/>
  <c r="N452" i="1"/>
  <c r="O452" i="1"/>
  <c r="P452" i="1"/>
  <c r="J453" i="1"/>
  <c r="K453" i="1"/>
  <c r="L453" i="1"/>
  <c r="M453" i="1"/>
  <c r="N453" i="1"/>
  <c r="O453" i="1"/>
  <c r="P453" i="1"/>
  <c r="J454" i="1"/>
  <c r="K454" i="1"/>
  <c r="L454" i="1"/>
  <c r="M454" i="1"/>
  <c r="N454" i="1"/>
  <c r="O454" i="1"/>
  <c r="P454" i="1"/>
  <c r="J455" i="1"/>
  <c r="K455" i="1"/>
  <c r="L455" i="1"/>
  <c r="M455" i="1"/>
  <c r="N455" i="1"/>
  <c r="O455" i="1"/>
  <c r="P455" i="1"/>
  <c r="J456" i="1"/>
  <c r="K456" i="1"/>
  <c r="L456" i="1"/>
  <c r="M456" i="1"/>
  <c r="N456" i="1"/>
  <c r="O456" i="1"/>
  <c r="P456" i="1"/>
  <c r="J457" i="1"/>
  <c r="K457" i="1"/>
  <c r="L457" i="1"/>
  <c r="M457" i="1"/>
  <c r="N457" i="1"/>
  <c r="O457" i="1"/>
  <c r="P457" i="1"/>
  <c r="J458" i="1"/>
  <c r="K458" i="1"/>
  <c r="L458" i="1"/>
  <c r="M458" i="1"/>
  <c r="N458" i="1"/>
  <c r="O458" i="1"/>
  <c r="P458" i="1"/>
  <c r="J459" i="1"/>
  <c r="K459" i="1"/>
  <c r="L459" i="1"/>
  <c r="M459" i="1"/>
  <c r="N459" i="1"/>
  <c r="O459" i="1"/>
  <c r="P459" i="1"/>
  <c r="J460" i="1"/>
  <c r="K460" i="1"/>
  <c r="L460" i="1"/>
  <c r="M460" i="1"/>
  <c r="N460" i="1"/>
  <c r="O460" i="1"/>
  <c r="P460" i="1"/>
  <c r="J461" i="1"/>
  <c r="K461" i="1"/>
  <c r="L461" i="1"/>
  <c r="M461" i="1"/>
  <c r="N461" i="1"/>
  <c r="O461" i="1"/>
  <c r="P461" i="1"/>
  <c r="J462" i="1"/>
  <c r="K462" i="1"/>
  <c r="L462" i="1"/>
  <c r="M462" i="1"/>
  <c r="N462" i="1"/>
  <c r="O462" i="1"/>
  <c r="P462" i="1"/>
  <c r="J463" i="1"/>
  <c r="K463" i="1"/>
  <c r="L463" i="1"/>
  <c r="M463" i="1"/>
  <c r="N463" i="1"/>
  <c r="O463" i="1"/>
  <c r="P463" i="1"/>
  <c r="J464" i="1"/>
  <c r="K464" i="1"/>
  <c r="L464" i="1"/>
  <c r="M464" i="1"/>
  <c r="N464" i="1"/>
  <c r="O464" i="1"/>
  <c r="P464" i="1"/>
  <c r="J465" i="1"/>
  <c r="K465" i="1"/>
  <c r="L465" i="1"/>
  <c r="M465" i="1"/>
  <c r="N465" i="1"/>
  <c r="O465" i="1"/>
  <c r="P465" i="1"/>
  <c r="J466" i="1"/>
  <c r="K466" i="1"/>
  <c r="L466" i="1"/>
  <c r="M466" i="1"/>
  <c r="N466" i="1"/>
  <c r="O466" i="1"/>
  <c r="P466" i="1"/>
  <c r="J467" i="1"/>
  <c r="K467" i="1"/>
  <c r="L467" i="1"/>
  <c r="M467" i="1"/>
  <c r="N467" i="1"/>
  <c r="O467" i="1"/>
  <c r="P467" i="1"/>
  <c r="J468" i="1"/>
  <c r="K468" i="1"/>
  <c r="L468" i="1"/>
  <c r="M468" i="1"/>
  <c r="N468" i="1"/>
  <c r="O468" i="1"/>
  <c r="P468" i="1"/>
  <c r="J469" i="1"/>
  <c r="K469" i="1"/>
  <c r="L469" i="1"/>
  <c r="M469" i="1"/>
  <c r="N469" i="1"/>
  <c r="O469" i="1"/>
  <c r="P469" i="1"/>
  <c r="J470" i="1"/>
  <c r="K470" i="1"/>
  <c r="L470" i="1"/>
  <c r="M470" i="1"/>
  <c r="N470" i="1"/>
  <c r="O470" i="1"/>
  <c r="P470" i="1"/>
  <c r="J471" i="1"/>
  <c r="K471" i="1"/>
  <c r="L471" i="1"/>
  <c r="M471" i="1"/>
  <c r="N471" i="1"/>
  <c r="O471" i="1"/>
  <c r="P471" i="1"/>
  <c r="J472" i="1"/>
  <c r="K472" i="1"/>
  <c r="L472" i="1"/>
  <c r="M472" i="1"/>
  <c r="N472" i="1"/>
  <c r="O472" i="1"/>
  <c r="P472" i="1"/>
  <c r="J473" i="1"/>
  <c r="K473" i="1"/>
  <c r="L473" i="1"/>
  <c r="M473" i="1"/>
  <c r="N473" i="1"/>
  <c r="O473" i="1"/>
  <c r="P473" i="1"/>
  <c r="J474" i="1"/>
  <c r="K474" i="1"/>
  <c r="L474" i="1"/>
  <c r="M474" i="1"/>
  <c r="N474" i="1"/>
  <c r="O474" i="1"/>
  <c r="P474" i="1"/>
  <c r="J475" i="1"/>
  <c r="K475" i="1"/>
  <c r="L475" i="1"/>
  <c r="M475" i="1"/>
  <c r="N475" i="1"/>
  <c r="O475" i="1"/>
  <c r="P475" i="1"/>
  <c r="J476" i="1"/>
  <c r="K476" i="1"/>
  <c r="L476" i="1"/>
  <c r="M476" i="1"/>
  <c r="N476" i="1"/>
  <c r="O476" i="1"/>
  <c r="P476" i="1"/>
  <c r="J477" i="1"/>
  <c r="K477" i="1"/>
  <c r="L477" i="1"/>
  <c r="M477" i="1"/>
  <c r="N477" i="1"/>
  <c r="O477" i="1"/>
  <c r="P477" i="1"/>
  <c r="J478" i="1"/>
  <c r="K478" i="1"/>
  <c r="L478" i="1"/>
  <c r="M478" i="1"/>
  <c r="N478" i="1"/>
  <c r="O478" i="1"/>
  <c r="P478" i="1"/>
  <c r="J479" i="1"/>
  <c r="K479" i="1"/>
  <c r="L479" i="1"/>
  <c r="M479" i="1"/>
  <c r="N479" i="1"/>
  <c r="O479" i="1"/>
  <c r="P479" i="1"/>
  <c r="J480" i="1"/>
  <c r="K480" i="1"/>
  <c r="L480" i="1"/>
  <c r="M480" i="1"/>
  <c r="N480" i="1"/>
  <c r="O480" i="1"/>
  <c r="P480" i="1"/>
  <c r="J481" i="1"/>
  <c r="K481" i="1"/>
  <c r="L481" i="1"/>
  <c r="M481" i="1"/>
  <c r="N481" i="1"/>
  <c r="O481" i="1"/>
  <c r="P481" i="1"/>
  <c r="J482" i="1"/>
  <c r="K482" i="1"/>
  <c r="L482" i="1"/>
  <c r="M482" i="1"/>
  <c r="N482" i="1"/>
  <c r="O482" i="1"/>
  <c r="P482" i="1"/>
  <c r="J483" i="1"/>
  <c r="K483" i="1"/>
  <c r="L483" i="1"/>
  <c r="M483" i="1"/>
  <c r="N483" i="1"/>
  <c r="O483" i="1"/>
  <c r="P483" i="1"/>
  <c r="J484" i="1"/>
  <c r="K484" i="1"/>
  <c r="L484" i="1"/>
  <c r="M484" i="1"/>
  <c r="N484" i="1"/>
  <c r="O484" i="1"/>
  <c r="P484" i="1"/>
  <c r="J485" i="1"/>
  <c r="K485" i="1"/>
  <c r="L485" i="1"/>
  <c r="M485" i="1"/>
  <c r="N485" i="1"/>
  <c r="O485" i="1"/>
  <c r="P485" i="1"/>
  <c r="J486" i="1"/>
  <c r="K486" i="1"/>
  <c r="L486" i="1"/>
  <c r="M486" i="1"/>
  <c r="N486" i="1"/>
  <c r="O486" i="1"/>
  <c r="P486" i="1"/>
  <c r="J487" i="1"/>
  <c r="K487" i="1"/>
  <c r="L487" i="1"/>
  <c r="M487" i="1"/>
  <c r="N487" i="1"/>
  <c r="O487" i="1"/>
  <c r="P487" i="1"/>
  <c r="J488" i="1"/>
  <c r="K488" i="1"/>
  <c r="L488" i="1"/>
  <c r="M488" i="1"/>
  <c r="N488" i="1"/>
  <c r="O488" i="1"/>
  <c r="P488" i="1"/>
  <c r="J489" i="1"/>
  <c r="K489" i="1"/>
  <c r="L489" i="1"/>
  <c r="M489" i="1"/>
  <c r="N489" i="1"/>
  <c r="O489" i="1"/>
  <c r="P489" i="1"/>
  <c r="J490" i="1"/>
  <c r="K490" i="1"/>
  <c r="L490" i="1"/>
  <c r="M490" i="1"/>
  <c r="N490" i="1"/>
  <c r="O490" i="1"/>
  <c r="P490" i="1"/>
  <c r="J491" i="1"/>
  <c r="K491" i="1"/>
  <c r="L491" i="1"/>
  <c r="M491" i="1"/>
  <c r="N491" i="1"/>
  <c r="O491" i="1"/>
  <c r="P491" i="1"/>
  <c r="J492" i="1"/>
  <c r="K492" i="1"/>
  <c r="L492" i="1"/>
  <c r="M492" i="1"/>
  <c r="N492" i="1"/>
  <c r="O492" i="1"/>
  <c r="P492" i="1"/>
  <c r="J493" i="1"/>
  <c r="K493" i="1"/>
  <c r="L493" i="1"/>
  <c r="M493" i="1"/>
  <c r="N493" i="1"/>
  <c r="O493" i="1"/>
  <c r="P493" i="1"/>
  <c r="J494" i="1"/>
  <c r="K494" i="1"/>
  <c r="L494" i="1"/>
  <c r="M494" i="1"/>
  <c r="N494" i="1"/>
  <c r="O494" i="1"/>
  <c r="P494" i="1"/>
  <c r="J495" i="1"/>
  <c r="K495" i="1"/>
  <c r="L495" i="1"/>
  <c r="M495" i="1"/>
  <c r="N495" i="1"/>
  <c r="O495" i="1"/>
  <c r="P495" i="1"/>
  <c r="J496" i="1"/>
  <c r="K496" i="1"/>
  <c r="L496" i="1"/>
  <c r="M496" i="1"/>
  <c r="N496" i="1"/>
  <c r="O496" i="1"/>
  <c r="P496" i="1"/>
  <c r="J497" i="1"/>
  <c r="K497" i="1"/>
  <c r="L497" i="1"/>
  <c r="M497" i="1"/>
  <c r="N497" i="1"/>
  <c r="O497" i="1"/>
  <c r="P497" i="1"/>
  <c r="J498" i="1"/>
  <c r="K498" i="1"/>
  <c r="L498" i="1"/>
  <c r="M498" i="1"/>
  <c r="N498" i="1"/>
  <c r="O498" i="1"/>
  <c r="P498" i="1"/>
  <c r="J499" i="1"/>
  <c r="K499" i="1"/>
  <c r="L499" i="1"/>
  <c r="M499" i="1"/>
  <c r="N499" i="1"/>
  <c r="O499" i="1"/>
  <c r="P499" i="1"/>
  <c r="J500" i="1"/>
  <c r="K500" i="1"/>
  <c r="L500" i="1"/>
  <c r="M500" i="1"/>
  <c r="N500" i="1"/>
  <c r="O500" i="1"/>
  <c r="P500" i="1"/>
  <c r="J501" i="1"/>
  <c r="K501" i="1"/>
  <c r="L501" i="1"/>
  <c r="M501" i="1"/>
  <c r="N501" i="1"/>
  <c r="O501" i="1"/>
  <c r="P501" i="1"/>
  <c r="J502" i="1"/>
  <c r="K502" i="1"/>
  <c r="L502" i="1"/>
  <c r="M502" i="1"/>
  <c r="N502" i="1"/>
  <c r="O502" i="1"/>
  <c r="P502" i="1"/>
  <c r="J503" i="1"/>
  <c r="K503" i="1"/>
  <c r="L503" i="1"/>
  <c r="M503" i="1"/>
  <c r="N503" i="1"/>
  <c r="O503" i="1"/>
  <c r="P503" i="1"/>
  <c r="J504" i="1"/>
  <c r="K504" i="1"/>
  <c r="L504" i="1"/>
  <c r="M504" i="1"/>
  <c r="N504" i="1"/>
  <c r="O504" i="1"/>
  <c r="P504" i="1"/>
  <c r="J505" i="1"/>
  <c r="K505" i="1"/>
  <c r="L505" i="1"/>
  <c r="M505" i="1"/>
  <c r="N505" i="1"/>
  <c r="O505" i="1"/>
  <c r="P505" i="1"/>
  <c r="J506" i="1"/>
  <c r="K506" i="1"/>
  <c r="L506" i="1"/>
  <c r="M506" i="1"/>
  <c r="N506" i="1"/>
  <c r="O506" i="1"/>
  <c r="P506" i="1"/>
  <c r="J507" i="1"/>
  <c r="K507" i="1"/>
  <c r="L507" i="1"/>
  <c r="M507" i="1"/>
  <c r="N507" i="1"/>
  <c r="O507" i="1"/>
  <c r="P507" i="1"/>
  <c r="J508" i="1"/>
  <c r="K508" i="1"/>
  <c r="L508" i="1"/>
  <c r="M508" i="1"/>
  <c r="N508" i="1"/>
  <c r="O508" i="1"/>
  <c r="P508" i="1"/>
  <c r="J509" i="1"/>
  <c r="K509" i="1"/>
  <c r="L509" i="1"/>
  <c r="M509" i="1"/>
  <c r="N509" i="1"/>
  <c r="O509" i="1"/>
  <c r="P509" i="1"/>
  <c r="J510" i="1"/>
  <c r="K510" i="1"/>
  <c r="L510" i="1"/>
  <c r="M510" i="1"/>
  <c r="N510" i="1"/>
  <c r="O510" i="1"/>
  <c r="P510" i="1"/>
  <c r="J511" i="1"/>
  <c r="K511" i="1"/>
  <c r="L511" i="1"/>
  <c r="M511" i="1"/>
  <c r="N511" i="1"/>
  <c r="O511" i="1"/>
  <c r="P511" i="1"/>
  <c r="J512" i="1"/>
  <c r="K512" i="1"/>
  <c r="L512" i="1"/>
  <c r="M512" i="1"/>
  <c r="N512" i="1"/>
  <c r="O512" i="1"/>
  <c r="P512" i="1"/>
  <c r="J513" i="1"/>
  <c r="K513" i="1"/>
  <c r="L513" i="1"/>
  <c r="M513" i="1"/>
  <c r="N513" i="1"/>
  <c r="O513" i="1"/>
  <c r="P513" i="1"/>
  <c r="J514" i="1"/>
  <c r="K514" i="1"/>
  <c r="L514" i="1"/>
  <c r="M514" i="1"/>
  <c r="N514" i="1"/>
  <c r="O514" i="1"/>
  <c r="P514" i="1"/>
  <c r="J515" i="1"/>
  <c r="K515" i="1"/>
  <c r="L515" i="1"/>
  <c r="M515" i="1"/>
  <c r="N515" i="1"/>
  <c r="O515" i="1"/>
  <c r="P515" i="1"/>
  <c r="J516" i="1"/>
  <c r="K516" i="1"/>
  <c r="L516" i="1"/>
  <c r="M516" i="1"/>
  <c r="N516" i="1"/>
  <c r="O516" i="1"/>
  <c r="P516" i="1"/>
  <c r="J517" i="1"/>
  <c r="K517" i="1"/>
  <c r="L517" i="1"/>
  <c r="M517" i="1"/>
  <c r="N517" i="1"/>
  <c r="O517" i="1"/>
  <c r="P517" i="1"/>
  <c r="J518" i="1"/>
  <c r="K518" i="1"/>
  <c r="L518" i="1"/>
  <c r="M518" i="1"/>
  <c r="N518" i="1"/>
  <c r="O518" i="1"/>
  <c r="P518" i="1"/>
  <c r="J519" i="1"/>
  <c r="K519" i="1"/>
  <c r="L519" i="1"/>
  <c r="M519" i="1"/>
  <c r="N519" i="1"/>
  <c r="O519" i="1"/>
  <c r="P519" i="1"/>
  <c r="J520" i="1"/>
  <c r="K520" i="1"/>
  <c r="L520" i="1"/>
  <c r="M520" i="1"/>
  <c r="N520" i="1"/>
  <c r="O520" i="1"/>
  <c r="P520" i="1"/>
  <c r="Q400" i="1"/>
  <c r="Q372" i="1"/>
  <c r="J396" i="1"/>
  <c r="K396" i="1"/>
  <c r="L396" i="1"/>
  <c r="M396" i="1"/>
  <c r="N396" i="1"/>
  <c r="O396" i="1"/>
  <c r="P396" i="1"/>
  <c r="J397" i="1"/>
  <c r="K397" i="1"/>
  <c r="L397" i="1"/>
  <c r="M397" i="1"/>
  <c r="N397" i="1"/>
  <c r="O397" i="1"/>
  <c r="P397" i="1"/>
  <c r="J398" i="1"/>
  <c r="K398" i="1"/>
  <c r="L398" i="1"/>
  <c r="M398" i="1"/>
  <c r="N398" i="1"/>
  <c r="O398" i="1"/>
  <c r="P398" i="1"/>
  <c r="J399" i="1"/>
  <c r="K399" i="1"/>
  <c r="L399" i="1"/>
  <c r="M399" i="1"/>
  <c r="N399" i="1"/>
  <c r="O399" i="1"/>
  <c r="P399" i="1"/>
  <c r="J400" i="1"/>
  <c r="K400" i="1"/>
  <c r="L400" i="1"/>
  <c r="M400" i="1"/>
  <c r="N400" i="1"/>
  <c r="O400" i="1"/>
  <c r="P400" i="1"/>
  <c r="J378" i="1"/>
  <c r="K378" i="1"/>
  <c r="L378" i="1"/>
  <c r="M378" i="1"/>
  <c r="N378" i="1"/>
  <c r="O378" i="1"/>
  <c r="P378" i="1"/>
  <c r="J379" i="1"/>
  <c r="K379" i="1"/>
  <c r="L379" i="1"/>
  <c r="M379" i="1"/>
  <c r="N379" i="1"/>
  <c r="O379" i="1"/>
  <c r="P379" i="1"/>
  <c r="J380" i="1"/>
  <c r="K380" i="1"/>
  <c r="L380" i="1"/>
  <c r="M380" i="1"/>
  <c r="N380" i="1"/>
  <c r="O380" i="1"/>
  <c r="P380" i="1"/>
  <c r="J381" i="1"/>
  <c r="K381" i="1"/>
  <c r="L381" i="1"/>
  <c r="M381" i="1"/>
  <c r="N381" i="1"/>
  <c r="O381" i="1"/>
  <c r="P381" i="1"/>
  <c r="J382" i="1"/>
  <c r="K382" i="1"/>
  <c r="L382" i="1"/>
  <c r="M382" i="1"/>
  <c r="N382" i="1"/>
  <c r="O382" i="1"/>
  <c r="P382" i="1"/>
  <c r="J383" i="1"/>
  <c r="K383" i="1"/>
  <c r="L383" i="1"/>
  <c r="M383" i="1"/>
  <c r="N383" i="1"/>
  <c r="O383" i="1"/>
  <c r="P383" i="1"/>
  <c r="J384" i="1"/>
  <c r="K384" i="1"/>
  <c r="L384" i="1"/>
  <c r="M384" i="1"/>
  <c r="N384" i="1"/>
  <c r="O384" i="1"/>
  <c r="P384" i="1"/>
  <c r="J385" i="1"/>
  <c r="K385" i="1"/>
  <c r="L385" i="1"/>
  <c r="M385" i="1"/>
  <c r="N385" i="1"/>
  <c r="O385" i="1"/>
  <c r="P385" i="1"/>
  <c r="J386" i="1"/>
  <c r="K386" i="1"/>
  <c r="L386" i="1"/>
  <c r="M386" i="1"/>
  <c r="N386" i="1"/>
  <c r="O386" i="1"/>
  <c r="P386" i="1"/>
  <c r="J387" i="1"/>
  <c r="K387" i="1"/>
  <c r="L387" i="1"/>
  <c r="M387" i="1"/>
  <c r="N387" i="1"/>
  <c r="O387" i="1"/>
  <c r="P387" i="1"/>
  <c r="J388" i="1"/>
  <c r="K388" i="1"/>
  <c r="L388" i="1"/>
  <c r="M388" i="1"/>
  <c r="N388" i="1"/>
  <c r="O388" i="1"/>
  <c r="P388" i="1"/>
  <c r="J389" i="1"/>
  <c r="K389" i="1"/>
  <c r="L389" i="1"/>
  <c r="M389" i="1"/>
  <c r="N389" i="1"/>
  <c r="O389" i="1"/>
  <c r="P389" i="1"/>
  <c r="J390" i="1"/>
  <c r="K390" i="1"/>
  <c r="L390" i="1"/>
  <c r="M390" i="1"/>
  <c r="N390" i="1"/>
  <c r="O390" i="1"/>
  <c r="P390" i="1"/>
  <c r="J391" i="1"/>
  <c r="K391" i="1"/>
  <c r="L391" i="1"/>
  <c r="M391" i="1"/>
  <c r="N391" i="1"/>
  <c r="O391" i="1"/>
  <c r="P391" i="1"/>
  <c r="J392" i="1"/>
  <c r="K392" i="1"/>
  <c r="L392" i="1"/>
  <c r="M392" i="1"/>
  <c r="N392" i="1"/>
  <c r="O392" i="1"/>
  <c r="P392" i="1"/>
  <c r="J393" i="1"/>
  <c r="K393" i="1"/>
  <c r="L393" i="1"/>
  <c r="M393" i="1"/>
  <c r="N393" i="1"/>
  <c r="O393" i="1"/>
  <c r="P393" i="1"/>
  <c r="J394" i="1"/>
  <c r="K394" i="1"/>
  <c r="L394" i="1"/>
  <c r="M394" i="1"/>
  <c r="N394" i="1"/>
  <c r="O394" i="1"/>
  <c r="P394" i="1"/>
  <c r="J395" i="1"/>
  <c r="K395" i="1"/>
  <c r="L395" i="1"/>
  <c r="M395" i="1"/>
  <c r="N395" i="1"/>
  <c r="O395" i="1"/>
  <c r="P395" i="1"/>
  <c r="J358" i="1"/>
  <c r="K358" i="1"/>
  <c r="L358" i="1"/>
  <c r="M358" i="1"/>
  <c r="N358" i="1"/>
  <c r="O358" i="1"/>
  <c r="P358" i="1"/>
  <c r="J359" i="1"/>
  <c r="K359" i="1"/>
  <c r="L359" i="1"/>
  <c r="M359" i="1"/>
  <c r="N359" i="1"/>
  <c r="O359" i="1"/>
  <c r="P359" i="1"/>
  <c r="J360" i="1"/>
  <c r="K360" i="1"/>
  <c r="L360" i="1"/>
  <c r="M360" i="1"/>
  <c r="N360" i="1"/>
  <c r="O360" i="1"/>
  <c r="P360" i="1"/>
  <c r="J361" i="1"/>
  <c r="K361" i="1"/>
  <c r="L361" i="1"/>
  <c r="M361" i="1"/>
  <c r="N361" i="1"/>
  <c r="O361" i="1"/>
  <c r="P361" i="1"/>
  <c r="J362" i="1"/>
  <c r="K362" i="1"/>
  <c r="L362" i="1"/>
  <c r="M362" i="1"/>
  <c r="N362" i="1"/>
  <c r="O362" i="1"/>
  <c r="P362" i="1"/>
  <c r="J363" i="1"/>
  <c r="K363" i="1"/>
  <c r="L363" i="1"/>
  <c r="M363" i="1"/>
  <c r="N363" i="1"/>
  <c r="O363" i="1"/>
  <c r="P363" i="1"/>
  <c r="J364" i="1"/>
  <c r="K364" i="1"/>
  <c r="L364" i="1"/>
  <c r="M364" i="1"/>
  <c r="N364" i="1"/>
  <c r="O364" i="1"/>
  <c r="P364" i="1"/>
  <c r="J365" i="1"/>
  <c r="K365" i="1"/>
  <c r="L365" i="1"/>
  <c r="M365" i="1"/>
  <c r="N365" i="1"/>
  <c r="O365" i="1"/>
  <c r="P365" i="1"/>
  <c r="J366" i="1"/>
  <c r="K366" i="1"/>
  <c r="L366" i="1"/>
  <c r="M366" i="1"/>
  <c r="N366" i="1"/>
  <c r="O366" i="1"/>
  <c r="P366" i="1"/>
  <c r="J367" i="1"/>
  <c r="K367" i="1"/>
  <c r="L367" i="1"/>
  <c r="M367" i="1"/>
  <c r="N367" i="1"/>
  <c r="O367" i="1"/>
  <c r="P367" i="1"/>
  <c r="J368" i="1"/>
  <c r="K368" i="1"/>
  <c r="L368" i="1"/>
  <c r="M368" i="1"/>
  <c r="N368" i="1"/>
  <c r="O368" i="1"/>
  <c r="P368" i="1"/>
  <c r="J369" i="1"/>
  <c r="K369" i="1"/>
  <c r="L369" i="1"/>
  <c r="M369" i="1"/>
  <c r="N369" i="1"/>
  <c r="O369" i="1"/>
  <c r="P369" i="1"/>
  <c r="J370" i="1"/>
  <c r="K370" i="1"/>
  <c r="L370" i="1"/>
  <c r="M370" i="1"/>
  <c r="N370" i="1"/>
  <c r="O370" i="1"/>
  <c r="P370" i="1"/>
  <c r="J371" i="1"/>
  <c r="K371" i="1"/>
  <c r="L371" i="1"/>
  <c r="M371" i="1"/>
  <c r="N371" i="1"/>
  <c r="O371" i="1"/>
  <c r="P371" i="1"/>
  <c r="J372" i="1"/>
  <c r="K372" i="1"/>
  <c r="L372" i="1"/>
  <c r="M372" i="1"/>
  <c r="N372" i="1"/>
  <c r="O372" i="1"/>
  <c r="P372" i="1"/>
  <c r="J373" i="1"/>
  <c r="K373" i="1"/>
  <c r="L373" i="1"/>
  <c r="M373" i="1"/>
  <c r="N373" i="1"/>
  <c r="O373" i="1"/>
  <c r="P373" i="1"/>
  <c r="J374" i="1"/>
  <c r="K374" i="1"/>
  <c r="L374" i="1"/>
  <c r="M374" i="1"/>
  <c r="N374" i="1"/>
  <c r="O374" i="1"/>
  <c r="P374" i="1"/>
  <c r="J375" i="1"/>
  <c r="K375" i="1"/>
  <c r="L375" i="1"/>
  <c r="M375" i="1"/>
  <c r="N375" i="1"/>
  <c r="O375" i="1"/>
  <c r="P375" i="1"/>
  <c r="J376" i="1"/>
  <c r="K376" i="1"/>
  <c r="L376" i="1"/>
  <c r="M376" i="1"/>
  <c r="N376" i="1"/>
  <c r="O376" i="1"/>
  <c r="P376" i="1"/>
  <c r="J377" i="1"/>
  <c r="K377" i="1"/>
  <c r="L377" i="1"/>
  <c r="M377" i="1"/>
  <c r="N377" i="1"/>
  <c r="O377" i="1"/>
  <c r="P377" i="1"/>
  <c r="J343" i="1"/>
  <c r="K343" i="1"/>
  <c r="L343" i="1"/>
  <c r="M343" i="1"/>
  <c r="N343" i="1"/>
  <c r="O343" i="1"/>
  <c r="P343" i="1"/>
  <c r="J344" i="1"/>
  <c r="K344" i="1"/>
  <c r="L344" i="1"/>
  <c r="M344" i="1"/>
  <c r="N344" i="1"/>
  <c r="O344" i="1"/>
  <c r="P344" i="1"/>
  <c r="J345" i="1"/>
  <c r="K345" i="1"/>
  <c r="L345" i="1"/>
  <c r="M345" i="1"/>
  <c r="N345" i="1"/>
  <c r="O345" i="1"/>
  <c r="P345" i="1"/>
  <c r="J346" i="1"/>
  <c r="K346" i="1"/>
  <c r="L346" i="1"/>
  <c r="M346" i="1"/>
  <c r="N346" i="1"/>
  <c r="O346" i="1"/>
  <c r="P346" i="1"/>
  <c r="J347" i="1"/>
  <c r="K347" i="1"/>
  <c r="L347" i="1"/>
  <c r="M347" i="1"/>
  <c r="N347" i="1"/>
  <c r="O347" i="1"/>
  <c r="P347" i="1"/>
  <c r="J348" i="1"/>
  <c r="K348" i="1"/>
  <c r="L348" i="1"/>
  <c r="M348" i="1"/>
  <c r="N348" i="1"/>
  <c r="O348" i="1"/>
  <c r="P348" i="1"/>
  <c r="J349" i="1"/>
  <c r="K349" i="1"/>
  <c r="L349" i="1"/>
  <c r="M349" i="1"/>
  <c r="N349" i="1"/>
  <c r="O349" i="1"/>
  <c r="P349" i="1"/>
  <c r="J350" i="1"/>
  <c r="K350" i="1"/>
  <c r="L350" i="1"/>
  <c r="M350" i="1"/>
  <c r="N350" i="1"/>
  <c r="O350" i="1"/>
  <c r="P350" i="1"/>
  <c r="J351" i="1"/>
  <c r="K351" i="1"/>
  <c r="L351" i="1"/>
  <c r="M351" i="1"/>
  <c r="N351" i="1"/>
  <c r="O351" i="1"/>
  <c r="P351" i="1"/>
  <c r="J352" i="1"/>
  <c r="K352" i="1"/>
  <c r="L352" i="1"/>
  <c r="M352" i="1"/>
  <c r="N352" i="1"/>
  <c r="O352" i="1"/>
  <c r="P352" i="1"/>
  <c r="J353" i="1"/>
  <c r="K353" i="1"/>
  <c r="L353" i="1"/>
  <c r="M353" i="1"/>
  <c r="N353" i="1"/>
  <c r="O353" i="1"/>
  <c r="P353" i="1"/>
  <c r="J354" i="1"/>
  <c r="K354" i="1"/>
  <c r="L354" i="1"/>
  <c r="M354" i="1"/>
  <c r="N354" i="1"/>
  <c r="O354" i="1"/>
  <c r="P354" i="1"/>
  <c r="J355" i="1"/>
  <c r="K355" i="1"/>
  <c r="L355" i="1"/>
  <c r="M355" i="1"/>
  <c r="N355" i="1"/>
  <c r="O355" i="1"/>
  <c r="P355" i="1"/>
  <c r="J356" i="1"/>
  <c r="K356" i="1"/>
  <c r="L356" i="1"/>
  <c r="M356" i="1"/>
  <c r="N356" i="1"/>
  <c r="O356" i="1"/>
  <c r="P356" i="1"/>
  <c r="J357" i="1"/>
  <c r="K357" i="1"/>
  <c r="L357" i="1"/>
  <c r="M357" i="1"/>
  <c r="N357" i="1"/>
  <c r="O357" i="1"/>
  <c r="P357" i="1"/>
  <c r="P342" i="1"/>
  <c r="O342" i="1"/>
  <c r="N342" i="1"/>
  <c r="M342" i="1"/>
  <c r="L342" i="1"/>
  <c r="K342" i="1"/>
  <c r="J342" i="1"/>
  <c r="K6" i="3"/>
  <c r="J6" i="3"/>
  <c r="I6" i="3"/>
  <c r="F6" i="3"/>
  <c r="F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G27" authorId="0" shapeId="0" xr:uid="{9B4AC422-D985-4E8C-A514-271DF535ED8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1/28 50&gt;45</t>
        </r>
      </text>
    </comment>
    <comment ref="B29" authorId="0" shapeId="0" xr:uid="{7476F89E-2BFD-4030-9326-F0667A2D8B1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&gt; 80,000 &gt; 100,000
1/28 10&gt;11</t>
        </r>
      </text>
    </comment>
    <comment ref="C29" authorId="0" shapeId="0" xr:uid="{0FAEDC8A-CBE9-43B5-8F31-31A74DD7B01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90,000 &gt; 110,000</t>
        </r>
      </text>
    </comment>
    <comment ref="D29" authorId="0" shapeId="0" xr:uid="{D1B0D511-6207-4A1A-9916-81B52018E5E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100,000 &gt; 12
0,000</t>
        </r>
      </text>
    </comment>
    <comment ref="E29" authorId="0" shapeId="0" xr:uid="{8E975B92-D35A-4445-9B09-109386DFEF5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100,000 &gt; 14
0,000</t>
        </r>
      </text>
    </comment>
    <comment ref="F29" authorId="0" shapeId="0" xr:uid="{A9B1ACEC-BB2C-4A62-9E31-59AD9D3EF60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120,000 &gt; 160,0000</t>
        </r>
      </text>
    </comment>
    <comment ref="B30" authorId="0" shapeId="0" xr:uid="{F9F89EBC-545F-4608-A6F0-A3D99C2F8A1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&gt; 70,000 &gt; 100,000
1/28 10&gt;11</t>
        </r>
      </text>
    </comment>
    <comment ref="C30" authorId="0" shapeId="0" xr:uid="{6672C139-97C7-431F-9CC5-D3F2DE758F9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워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90,000 &gt; 110,000</t>
        </r>
      </text>
    </comment>
    <comment ref="D30" authorId="0" shapeId="0" xr:uid="{F594F9E2-29A8-4EC3-9F9F-DB4469789DC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90,000 &gt; 12
0,000
1/28 12&gt;13</t>
        </r>
      </text>
    </comment>
    <comment ref="E30" authorId="0" shapeId="0" xr:uid="{5A195CC6-D652-427E-B383-0D09D230659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100,000 &gt; 14
0,000</t>
        </r>
      </text>
    </comment>
    <comment ref="F30" authorId="0" shapeId="0" xr:uid="{C424EA19-D53A-4CD8-ADE2-3FE927617C2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120,000 &gt; 160,0000</t>
        </r>
      </text>
    </comment>
    <comment ref="B31" authorId="0" shapeId="0" xr:uid="{8EF8128A-2DDE-495F-9F95-9FBE83CED4E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&gt; 70,000 &gt; 100,000
1/28 10&gt;11</t>
        </r>
      </text>
    </comment>
    <comment ref="C31" authorId="0" shapeId="0" xr:uid="{A4075A67-00AD-450D-85DE-0404ECD8A05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워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90,000 &gt; 110,000</t>
        </r>
      </text>
    </comment>
    <comment ref="D31" authorId="0" shapeId="0" xr:uid="{31E69D93-33A2-4CF5-A0DC-F721A5B1722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90,000 &gt; 12
0,000
1/28 12&gt;14</t>
        </r>
      </text>
    </comment>
    <comment ref="E31" authorId="0" shapeId="0" xr:uid="{7B5D38A7-20D6-45F0-A44D-65A20B830F9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100,000 &gt; 14
0,000</t>
        </r>
      </text>
    </comment>
    <comment ref="F31" authorId="0" shapeId="0" xr:uid="{178009C2-C18C-426E-AE7B-E72C9829CFE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120,000 &gt; 160,0000</t>
        </r>
      </text>
    </comment>
    <comment ref="G31" authorId="0" shapeId="0" xr:uid="{18254671-B0EE-4774-A377-BA040AAD570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1/28 35&gt;30</t>
        </r>
      </text>
    </comment>
    <comment ref="B32" authorId="0" shapeId="0" xr:uid="{C485FE38-0073-4C45-837C-5CBFE5A673E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&gt; 70,000 &gt; 100,000
1/28 10&gt;11</t>
        </r>
      </text>
    </comment>
    <comment ref="C32" authorId="0" shapeId="0" xr:uid="{0798CAE0-AA9B-494B-9951-0BACB6780C1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워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90,000 &gt; 110,000</t>
        </r>
      </text>
    </comment>
    <comment ref="D32" authorId="0" shapeId="0" xr:uid="{51182A61-5FEE-43E9-B27A-40FBC720C09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90,000 &gt; 12
0,000
1/28 12&gt;14</t>
        </r>
      </text>
    </comment>
    <comment ref="E32" authorId="0" shapeId="0" xr:uid="{65D15956-A259-4C86-B78F-0864DAB51B8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100,000 &gt; 14
0,000</t>
        </r>
      </text>
    </comment>
    <comment ref="F32" authorId="0" shapeId="0" xr:uid="{C303ED01-5FBF-4805-9588-E2A06C5E509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120,000 &gt; 160,0000</t>
        </r>
      </text>
    </comment>
    <comment ref="G32" authorId="0" shapeId="0" xr:uid="{857694F0-05C6-4A55-87F2-7C185FACDD0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1/28 35&gt;30</t>
        </r>
      </text>
    </comment>
    <comment ref="B33" authorId="0" shapeId="0" xr:uid="{4BA80A7A-EBC6-404F-8853-84B401FE5C3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&gt; 70,000 &gt; 100,000</t>
        </r>
      </text>
    </comment>
    <comment ref="C33" authorId="0" shapeId="0" xr:uid="{0120614C-0F42-4628-8EE6-167899584E4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워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90,000 &gt; 110,000</t>
        </r>
      </text>
    </comment>
    <comment ref="D33" authorId="0" shapeId="0" xr:uid="{38812913-D97F-4648-975D-A9D62F230FA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90,000 &gt; 12
0,000</t>
        </r>
      </text>
    </comment>
    <comment ref="E33" authorId="0" shapeId="0" xr:uid="{492AD965-CE28-433C-82A0-B0E857A481F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100,000 &gt; 14
0,000</t>
        </r>
      </text>
    </comment>
    <comment ref="F33" authorId="0" shapeId="0" xr:uid="{1317B11F-A7F4-4334-928B-EDC934F90F8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120,000 &gt; 160,0000</t>
        </r>
      </text>
    </comment>
    <comment ref="G33" authorId="0" shapeId="0" xr:uid="{F6B26A40-E070-440E-8F01-9E98948ABFF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1/28 35&gt;30</t>
        </r>
      </text>
    </comment>
    <comment ref="B34" authorId="0" shapeId="0" xr:uid="{4C233DE7-AAEC-4D92-9C63-1B2CB36CF8C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120,000  &gt; 140,000</t>
        </r>
      </text>
    </comment>
    <comment ref="C34" authorId="0" shapeId="0" xr:uid="{875CB14D-C4BB-4C6C-AF4B-EB8C07DB15C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 &gt; 150,000</t>
        </r>
      </text>
    </comment>
    <comment ref="B35" authorId="0" shapeId="0" xr:uid="{94A4766E-0561-4D48-A781-E2572C4ABDF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1/22 14&gt;15</t>
        </r>
      </text>
    </comment>
    <comment ref="B36" authorId="0" shapeId="0" xr:uid="{8A3AB455-14B2-4FED-AF79-843444B0E8D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1/22 13&gt;14</t>
        </r>
      </text>
    </comment>
    <comment ref="F36" authorId="0" shapeId="0" xr:uid="{A0A4DBFC-6470-4977-91E7-EA2A3135323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160,000
1/18 16&gt;36</t>
        </r>
      </text>
    </comment>
    <comment ref="F37" authorId="0" shapeId="0" xr:uid="{3FAC5D30-9EA9-409F-8A44-BBAEF2152AA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160,000</t>
        </r>
      </text>
    </comment>
    <comment ref="F38" authorId="0" shapeId="0" xr:uid="{5E7EC13E-19F1-4B9C-B9AB-C5B491E89CD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160,000</t>
        </r>
      </text>
    </comment>
    <comment ref="B39" authorId="0" shapeId="0" xr:uid="{70BD7A20-F0B4-42FA-8585-43E29020C9C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1/22 12&gt;14</t>
        </r>
      </text>
    </comment>
    <comment ref="F39" authorId="0" shapeId="0" xr:uid="{7F9179A8-6EAB-419C-8D01-E0FCBBFBC6F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160,000</t>
        </r>
      </text>
    </comment>
    <comment ref="B40" authorId="0" shapeId="0" xr:uid="{4C63E04C-FAC7-4458-8608-09A62D29546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1/22 12&gt;14</t>
        </r>
      </text>
    </comment>
    <comment ref="F40" authorId="0" shapeId="0" xr:uid="{CB792A16-A7AC-47CC-9C18-B782E03A82E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160,000</t>
        </r>
      </text>
    </comment>
    <comment ref="B41" authorId="0" shapeId="0" xr:uid="{6588F005-1973-4990-853F-5B56D0B1A72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14&gt;17</t>
        </r>
      </text>
    </comment>
    <comment ref="D41" authorId="0" shapeId="0" xr:uid="{6EDC7565-E141-4CFC-B4D1-E78212A8738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18&gt;24</t>
        </r>
      </text>
    </comment>
    <comment ref="C42" authorId="0" shapeId="0" xr:uid="{836DF7AF-4884-4F19-A1E5-CF65249246D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15&gt;18</t>
        </r>
      </text>
    </comment>
    <comment ref="B43" authorId="0" shapeId="0" xr:uid="{342770C6-AEA0-4261-9238-FAEDF35A7A2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14&gt;16</t>
        </r>
      </text>
    </comment>
    <comment ref="C43" authorId="0" shapeId="0" xr:uid="{712B3149-6D88-4F5F-B7C1-0A7022E8173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15&gt;17</t>
        </r>
      </text>
    </comment>
    <comment ref="D43" authorId="0" shapeId="0" xr:uid="{41FA8BDC-8A59-4ABF-AC23-8F051BA232B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15&gt;31</t>
        </r>
      </text>
    </comment>
    <comment ref="E43" authorId="0" shapeId="0" xr:uid="{F632830B-776E-4045-B973-8A636F2D3F3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16&gt;21</t>
        </r>
      </text>
    </comment>
    <comment ref="F43" authorId="0" shapeId="0" xr:uid="{FD6DAE0E-E208-487E-BF26-A9BD9936151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17&gt;324</t>
        </r>
      </text>
    </comment>
    <comment ref="B44" authorId="0" shapeId="0" xr:uid="{4B259859-9244-4D6E-808D-365E1FA0BF9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11&gt;16</t>
        </r>
      </text>
    </comment>
    <comment ref="C44" authorId="0" shapeId="0" xr:uid="{46F61B9D-0F88-451B-8FCD-69A5DD7E04B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14&gt;17</t>
        </r>
      </text>
    </comment>
    <comment ref="D44" authorId="0" shapeId="0" xr:uid="{142C0680-EB9B-4068-8129-D94CC5C98AE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15&gt;31</t>
        </r>
      </text>
    </comment>
    <comment ref="E44" authorId="0" shapeId="0" xr:uid="{BF658E3B-2395-435F-A1DD-4066DB22050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16&gt;21</t>
        </r>
      </text>
    </comment>
    <comment ref="B45" authorId="0" shapeId="0" xr:uid="{70F5D47C-0955-4AC1-BF9A-08708AF0AFB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11&gt;14
1/18 14&gt;16</t>
        </r>
      </text>
    </comment>
    <comment ref="C45" authorId="0" shapeId="0" xr:uid="{6A3C09CE-CB63-4BF2-8101-861A4D254D6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12&gt;16
1/18 16&gt;17</t>
        </r>
      </text>
    </comment>
    <comment ref="D45" authorId="0" shapeId="0" xr:uid="{F18A6291-8DF4-410D-9D8A-19192B4323F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15&gt;19
1/18 19&gt;21</t>
        </r>
      </text>
    </comment>
    <comment ref="E45" authorId="0" shapeId="0" xr:uid="{E2B83A86-789F-4ECE-BC15-C4A605BFF21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16&gt;21</t>
        </r>
      </text>
    </comment>
    <comment ref="F45" authorId="0" shapeId="0" xr:uid="{2079AC04-8BF4-4737-BAA1-51DA9AFC38E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17&gt;24</t>
        </r>
      </text>
    </comment>
    <comment ref="B46" authorId="0" shapeId="0" xr:uid="{53E9F3F4-DE45-431B-A998-62634E0DE53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11&gt;14
1/18 14&gt;16</t>
        </r>
      </text>
    </comment>
    <comment ref="C46" authorId="0" shapeId="0" xr:uid="{A0CBC384-1AAE-4EAB-A53B-C6290E4BF4D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12&gt;16
1/18 16&gt;17</t>
        </r>
      </text>
    </comment>
    <comment ref="D46" authorId="0" shapeId="0" xr:uid="{13F80708-D5BD-4687-954D-60FB3DAF2C4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15&gt;19
1/18 19&gt;21</t>
        </r>
      </text>
    </comment>
    <comment ref="E46" authorId="0" shapeId="0" xr:uid="{498AA4B1-0FFD-4501-9566-24169F70B8D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16&gt;21</t>
        </r>
      </text>
    </comment>
    <comment ref="F46" authorId="0" shapeId="0" xr:uid="{E980E102-7B6F-449C-98BA-14696665F91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17&gt;24</t>
        </r>
      </text>
    </comment>
    <comment ref="B47" authorId="0" shapeId="0" xr:uid="{AACC44D3-4F6F-49AB-8376-77F503E7415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11&gt;14
1/18 14&gt;16</t>
        </r>
      </text>
    </comment>
    <comment ref="C47" authorId="0" shapeId="0" xr:uid="{86029280-5E15-458E-8DBA-4B9AB95A122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12&gt;16
1/18 16&gt;17</t>
        </r>
      </text>
    </comment>
    <comment ref="D47" authorId="0" shapeId="0" xr:uid="{16D4F3A3-1941-47FB-8BD9-58DDC3D41C5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15&gt;19
1/18 19&gt;21</t>
        </r>
      </text>
    </comment>
    <comment ref="E47" authorId="0" shapeId="0" xr:uid="{707D0965-0994-4845-88FD-27E11CCFDBE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16&gt;21</t>
        </r>
      </text>
    </comment>
    <comment ref="F47" authorId="0" shapeId="0" xr:uid="{5AF2FD43-01A4-4A96-BC19-BE10C297B70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B48" authorId="0" shapeId="0" xr:uid="{02E44E07-94E1-46DF-861D-879F2E1F6DE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14&gt;16
1/16 16&gt;18</t>
        </r>
      </text>
    </comment>
    <comment ref="C48" authorId="0" shapeId="0" xr:uid="{388958DA-A185-4EEB-9FEF-B825B8C08FA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15&gt;18
1/18 18&gt;19</t>
        </r>
      </text>
    </comment>
    <comment ref="D48" authorId="0" shapeId="0" xr:uid="{2AF3EAB8-58E6-472D-ADB5-DC3089C1C30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24&gt;25</t>
        </r>
      </text>
    </comment>
    <comment ref="E48" authorId="0" shapeId="0" xr:uid="{1448CDF2-9965-4BD2-B796-4DDAC1FDF7B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21&gt;25</t>
        </r>
      </text>
    </comment>
    <comment ref="F48" authorId="0" shapeId="0" xr:uid="{CEF97F2B-10A8-40ED-A80E-CCA3E7B8E45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24&gt;30</t>
        </r>
      </text>
    </comment>
    <comment ref="B49" authorId="0" shapeId="0" xr:uid="{1A03FE3A-D143-4D17-8F90-EDDFD1F6DF4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14&gt;16
1/16 16&gt;18</t>
        </r>
      </text>
    </comment>
    <comment ref="C49" authorId="0" shapeId="0" xr:uid="{1408B815-9A8A-4C9A-85FB-78D9B15EB5E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15&gt;18
1/18 18&gt;19</t>
        </r>
      </text>
    </comment>
    <comment ref="D49" authorId="0" shapeId="0" xr:uid="{35AD1FA7-D76D-44FF-B27F-CB6BB0E6C0F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24&gt;25</t>
        </r>
      </text>
    </comment>
    <comment ref="E49" authorId="0" shapeId="0" xr:uid="{58CD3A65-D735-4531-A793-9F4E90125C1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24&gt;25</t>
        </r>
      </text>
    </comment>
    <comment ref="F49" authorId="0" shapeId="0" xr:uid="{22D64BD0-1AA7-4EDB-A69A-EA89E78C410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24&gt;30</t>
        </r>
      </text>
    </comment>
    <comment ref="B50" authorId="0" shapeId="0" xr:uid="{32ED1C19-FFFA-42C5-844C-77322F2745FE}">
      <text>
        <r>
          <rPr>
            <sz val="11"/>
            <color theme="1"/>
            <rFont val="맑은 고딕"/>
            <family val="2"/>
            <scheme val="minor"/>
          </rPr>
          <t>HP:
1월 14일 110,000 &gt; 150,000
1/18 15&gt;16</t>
        </r>
      </text>
    </comment>
    <comment ref="C50" authorId="0" shapeId="0" xr:uid="{3010D14E-D33B-41F9-8D0B-9E3FAAA9074E}">
      <text>
        <r>
          <rPr>
            <sz val="11"/>
            <color theme="1"/>
            <rFont val="맑은 고딕"/>
            <family val="2"/>
            <scheme val="minor"/>
          </rPr>
          <t>HP:
1월 14일 130,000 &gt; 160,000
1/15 16&gt;17</t>
        </r>
      </text>
    </comment>
    <comment ref="D50" authorId="0" shapeId="0" xr:uid="{66F32869-1031-4B1E-B5CE-D81FD3F0EDB8}">
      <text>
        <r>
          <rPr>
            <sz val="11"/>
            <color theme="1"/>
            <rFont val="맑은 고딕"/>
            <family val="2"/>
            <scheme val="minor"/>
          </rPr>
          <t>HP:
1/14 15&gt;18
1/15 18&gt;21</t>
        </r>
      </text>
    </comment>
    <comment ref="E50" authorId="0" shapeId="0" xr:uid="{0DB3996C-D8F0-4316-805A-CA8F950EC446}">
      <text>
        <r>
          <rPr>
            <sz val="11"/>
            <color theme="1"/>
            <rFont val="맑은 고딕"/>
            <family val="2"/>
            <scheme val="minor"/>
          </rPr>
          <t>HP:
1월 14일 170,000 &gt; 200,000
1/15 20&gt;23</t>
        </r>
      </text>
    </comment>
    <comment ref="F50" authorId="0" shapeId="0" xr:uid="{3ACACCD1-7ED6-4A3C-A24D-1DC7237092CA}">
      <text>
        <r>
          <rPr>
            <sz val="11"/>
            <color theme="1"/>
            <rFont val="맑은 고딕"/>
            <family val="2"/>
            <scheme val="minor"/>
          </rPr>
          <t>HP:
1월14일20&gt;26</t>
        </r>
      </text>
    </comment>
    <comment ref="B51" authorId="0" shapeId="0" xr:uid="{82D0013D-6211-48F1-852A-84D354C7EE02}">
      <text>
        <r>
          <rPr>
            <sz val="11"/>
            <color theme="1"/>
            <rFont val="맑은 고딕"/>
            <family val="2"/>
            <scheme val="minor"/>
          </rPr>
          <t>HP:
1월 14일 110,000 &gt; 150,000
1/18 15&gt;16</t>
        </r>
      </text>
    </comment>
    <comment ref="C51" authorId="0" shapeId="0" xr:uid="{84290F39-FAA0-478A-9B84-BF0EF9430CD9}">
      <text>
        <r>
          <rPr>
            <sz val="11"/>
            <color theme="1"/>
            <rFont val="맑은 고딕"/>
            <family val="2"/>
            <scheme val="minor"/>
          </rPr>
          <t>HP:
1월 14일 130,000 &gt; 160,000
1/15 16&gt;17</t>
        </r>
      </text>
    </comment>
    <comment ref="D51" authorId="0" shapeId="0" xr:uid="{3978E735-0B94-4B42-96ED-4629A13D47F0}">
      <text>
        <r>
          <rPr>
            <sz val="11"/>
            <color theme="1"/>
            <rFont val="맑은 고딕"/>
            <family val="2"/>
            <scheme val="minor"/>
          </rPr>
          <t>HP:
1/14 15&gt;18
1/15 18&gt;21</t>
        </r>
      </text>
    </comment>
    <comment ref="E51" authorId="0" shapeId="0" xr:uid="{E3E2AFC3-9D35-4B55-8476-789CDCFAE41B}">
      <text>
        <r>
          <rPr>
            <sz val="11"/>
            <color theme="1"/>
            <rFont val="맑은 고딕"/>
            <family val="2"/>
            <scheme val="minor"/>
          </rPr>
          <t>HP:
1월 14일 170,000 &gt; 200,000
1/15 20&gt;23</t>
        </r>
      </text>
    </comment>
    <comment ref="F51" authorId="0" shapeId="0" xr:uid="{23D601FF-B81D-44AB-AE77-D2C5168FCB47}">
      <text>
        <r>
          <rPr>
            <sz val="11"/>
            <color theme="1"/>
            <rFont val="맑은 고딕"/>
            <family val="2"/>
            <scheme val="minor"/>
          </rPr>
          <t>HP:
1월14일20&gt;26</t>
        </r>
      </text>
    </comment>
    <comment ref="B52" authorId="0" shapeId="0" xr:uid="{E4FA40BA-17BB-49AD-B9C6-C7BB7CCC28F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13&gt;15
1/17 15&gt;16
1/22 16&gt;17</t>
        </r>
      </text>
    </comment>
    <comment ref="C52" authorId="0" shapeId="0" xr:uid="{081128F0-92F8-420B-A299-96334D7FF338}">
      <text>
        <r>
          <rPr>
            <sz val="11"/>
            <color theme="1"/>
            <rFont val="맑은 고딕"/>
            <family val="2"/>
            <scheme val="minor"/>
          </rPr>
          <t>HP:
1월 14일 130,000 &gt; 160,000
1/15 16&gt;17</t>
        </r>
      </text>
    </comment>
    <comment ref="D52" authorId="0" shapeId="0" xr:uid="{5BCBC0E1-2958-4127-BFE0-2F4E441F78A4}">
      <text>
        <r>
          <rPr>
            <sz val="11"/>
            <color theme="1"/>
            <rFont val="맑은 고딕"/>
            <family val="2"/>
            <scheme val="minor"/>
          </rPr>
          <t>HP:
1/14 15&gt;18
1/15 18&gt;21</t>
        </r>
      </text>
    </comment>
    <comment ref="E52" authorId="0" shapeId="0" xr:uid="{AEBA6D45-EF05-4E9B-B1F6-20CE34004E83}">
      <text>
        <r>
          <rPr>
            <sz val="11"/>
            <color theme="1"/>
            <rFont val="맑은 고딕"/>
            <family val="2"/>
            <scheme val="minor"/>
          </rPr>
          <t>HP:
1월 14일 170,000 &gt; 200,000
1/15 20&gt;23</t>
        </r>
      </text>
    </comment>
    <comment ref="F52" authorId="0" shapeId="0" xr:uid="{6A167FC1-E388-4871-BF3F-1DA09871EA72}">
      <text>
        <r>
          <rPr>
            <sz val="11"/>
            <color theme="1"/>
            <rFont val="맑은 고딕"/>
            <family val="2"/>
            <scheme val="minor"/>
          </rPr>
          <t>HP:
1월14일20&gt;26</t>
        </r>
      </text>
    </comment>
    <comment ref="B53" authorId="0" shapeId="0" xr:uid="{D6BD911A-CA66-4B94-8976-6C20CCFED42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13&gt;15
1/17 15&gt;16
1/22 16&gt;17</t>
        </r>
      </text>
    </comment>
    <comment ref="C53" authorId="0" shapeId="0" xr:uid="{B7C25947-DF3B-4122-AD2F-F98CA214350E}">
      <text>
        <r>
          <rPr>
            <sz val="11"/>
            <color theme="1"/>
            <rFont val="맑은 고딕"/>
            <family val="2"/>
            <scheme val="minor"/>
          </rPr>
          <t>HP:
1월 14일 130,000 &gt; 160,000
1/15 16&gt;17</t>
        </r>
      </text>
    </comment>
    <comment ref="D53" authorId="0" shapeId="0" xr:uid="{60EBEDC8-A1C8-4FD1-98EA-DCB9B99F3984}">
      <text>
        <r>
          <rPr>
            <sz val="11"/>
            <color theme="1"/>
            <rFont val="맑은 고딕"/>
            <family val="2"/>
            <scheme val="minor"/>
          </rPr>
          <t>HP:
1/14 15&gt;18
1/15 18&gt;21</t>
        </r>
      </text>
    </comment>
    <comment ref="E53" authorId="0" shapeId="0" xr:uid="{88C748F5-5FA1-47D8-9A9A-3C3FC1BE885D}">
      <text>
        <r>
          <rPr>
            <sz val="11"/>
            <color theme="1"/>
            <rFont val="맑은 고딕"/>
            <family val="2"/>
            <scheme val="minor"/>
          </rPr>
          <t>HP:
1월 14일 170,000 &gt; 200,000
1/15 20&gt;23</t>
        </r>
      </text>
    </comment>
    <comment ref="F53" authorId="0" shapeId="0" xr:uid="{6CABA071-FC3D-4B62-A666-905F7D6EF83E}">
      <text>
        <r>
          <rPr>
            <sz val="11"/>
            <color theme="1"/>
            <rFont val="맑은 고딕"/>
            <family val="2"/>
            <scheme val="minor"/>
          </rPr>
          <t>HP:
1월14일20&gt;26</t>
        </r>
      </text>
    </comment>
    <comment ref="B54" authorId="0" shapeId="0" xr:uid="{BCFE29B3-12FB-4ED2-A1A2-282F4A08DCC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1/22 14&gt;!7</t>
        </r>
      </text>
    </comment>
    <comment ref="C54" authorId="0" shapeId="0" xr:uid="{164E1845-CA7E-4D67-B698-344577FE2758}">
      <text>
        <r>
          <rPr>
            <sz val="11"/>
            <color theme="1"/>
            <rFont val="맑은 고딕"/>
            <family val="2"/>
            <scheme val="minor"/>
          </rPr>
          <t>HP:
1월 14일 130,000 &gt; 160,000
1/15 16&gt;17</t>
        </r>
      </text>
    </comment>
    <comment ref="D54" authorId="0" shapeId="0" xr:uid="{8D136AEF-07EA-463E-A268-FD6E3D567BBC}">
      <text>
        <r>
          <rPr>
            <sz val="11"/>
            <color theme="1"/>
            <rFont val="맑은 고딕"/>
            <family val="2"/>
            <scheme val="minor"/>
          </rPr>
          <t>HP:
1/14 15&gt;18
1/15 18&gt;21</t>
        </r>
      </text>
    </comment>
    <comment ref="E54" authorId="0" shapeId="0" xr:uid="{EAAE6BA7-FF89-4B00-A444-A530C3B7E051}">
      <text>
        <r>
          <rPr>
            <sz val="11"/>
            <color theme="1"/>
            <rFont val="맑은 고딕"/>
            <family val="2"/>
            <scheme val="minor"/>
          </rPr>
          <t>HP:
1월 14일 170,000 &gt; 200,000
1/15 20&gt;23</t>
        </r>
      </text>
    </comment>
    <comment ref="F54" authorId="0" shapeId="0" xr:uid="{0A767ACE-5CE7-4414-A2B8-FFBB81F76048}">
      <text>
        <r>
          <rPr>
            <sz val="11"/>
            <color theme="1"/>
            <rFont val="맑은 고딕"/>
            <family val="2"/>
            <scheme val="minor"/>
          </rPr>
          <t>HP:
1월14일20&gt;26</t>
        </r>
      </text>
    </comment>
    <comment ref="E55" authorId="0" shapeId="0" xr:uid="{B63CCB59-B04F-4537-B2D1-ACA9BD448FB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230,000 &gt; 25
0,000
1/15 25&gt;27</t>
        </r>
      </text>
    </comment>
    <comment ref="F55" authorId="0" shapeId="0" xr:uid="{7602C7EF-7D9A-44FB-996B-19618D14B8C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1/28 32&gt;38</t>
        </r>
      </text>
    </comment>
    <comment ref="E56" authorId="0" shapeId="0" xr:uid="{0E743CC6-13F5-488C-A4D0-67D7B502AA7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230,000 &gt; 25
0,000
1/15 25&gt;27</t>
        </r>
      </text>
    </comment>
    <comment ref="B57" authorId="0" shapeId="0" xr:uid="{A0C70DA5-D52E-4F40-98DD-A078EF343B5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13&gt;15
1/17 15&gt;16
1/22 16&gt;17</t>
        </r>
      </text>
    </comment>
    <comment ref="D57" authorId="0" shapeId="0" xr:uid="{78B582A3-69F3-4E46-AF5B-1DEB00A62F22}">
      <text>
        <r>
          <rPr>
            <sz val="11"/>
            <color theme="1"/>
            <rFont val="맑은 고딕"/>
            <family val="2"/>
            <scheme val="minor"/>
          </rPr>
          <t>HP:
1/14 15&gt;18
1/15 18&gt;21</t>
        </r>
      </text>
    </comment>
    <comment ref="E57" authorId="0" shapeId="0" xr:uid="{F9AB4C58-5462-4AFF-95C0-3AB4699CB240}">
      <text>
        <r>
          <rPr>
            <sz val="11"/>
            <color theme="1"/>
            <rFont val="맑은 고딕"/>
            <family val="2"/>
            <scheme val="minor"/>
          </rPr>
          <t>HP:
1월 14일 180,000 &gt; 200,000</t>
        </r>
      </text>
    </comment>
    <comment ref="B58" authorId="0" shapeId="0" xr:uid="{D80C8698-CE28-4FD1-B485-2AB65FB1AA15}">
      <text>
        <r>
          <rPr>
            <sz val="11"/>
            <color theme="1"/>
            <rFont val="맑은 고딕"/>
            <family val="2"/>
            <scheme val="minor"/>
          </rPr>
          <t>HP:
1월 14일 130,000 &gt; 150,000</t>
        </r>
      </text>
    </comment>
    <comment ref="D58" authorId="0" shapeId="0" xr:uid="{149DB68F-5543-4566-AFF2-87C93756DCF3}">
      <text>
        <r>
          <rPr>
            <sz val="11"/>
            <color theme="1"/>
            <rFont val="맑은 고딕"/>
            <family val="2"/>
            <scheme val="minor"/>
          </rPr>
          <t>HP:
1/14 15&gt;18
1/15 18&gt;21</t>
        </r>
      </text>
    </comment>
    <comment ref="E58" authorId="0" shapeId="0" xr:uid="{50AE0A9B-C96B-4FB9-9C96-AE5A76303EB3}">
      <text>
        <r>
          <rPr>
            <sz val="11"/>
            <color theme="1"/>
            <rFont val="맑은 고딕"/>
            <family val="2"/>
            <scheme val="minor"/>
          </rPr>
          <t>HP:
1월 14일 170,000 &gt; 200,000
1/15 20&gt;23</t>
        </r>
      </text>
    </comment>
    <comment ref="B59" authorId="0" shapeId="0" xr:uid="{92E440D4-82A3-4D1A-8D3F-D57E39E24204}">
      <text>
        <r>
          <rPr>
            <sz val="11"/>
            <color theme="1"/>
            <rFont val="맑은 고딕"/>
            <family val="2"/>
            <scheme val="minor"/>
          </rPr>
          <t>HP:
1월 14일 130,000 &gt; 150,000</t>
        </r>
      </text>
    </comment>
    <comment ref="C59" authorId="0" shapeId="0" xr:uid="{5150EA77-A35B-4FC3-91F3-A8F7B7F9F448}">
      <text>
        <r>
          <rPr>
            <sz val="11"/>
            <color theme="1"/>
            <rFont val="맑은 고딕"/>
            <family val="2"/>
            <scheme val="minor"/>
          </rPr>
          <t>HP:
1월 14일 130,000 &gt; 160,000
1/15 16&gt;17</t>
        </r>
      </text>
    </comment>
    <comment ref="D59" authorId="0" shapeId="0" xr:uid="{A07B0E27-CEDF-45BA-92F7-0EB965E6D7D7}">
      <text>
        <r>
          <rPr>
            <sz val="11"/>
            <color theme="1"/>
            <rFont val="맑은 고딕"/>
            <family val="2"/>
            <scheme val="minor"/>
          </rPr>
          <t>HP:
1/14 15&gt;18
1/15 18&gt;21</t>
        </r>
      </text>
    </comment>
    <comment ref="E59" authorId="0" shapeId="0" xr:uid="{5CC2409C-4AE7-49EA-8090-6F1B7F91E26F}">
      <text>
        <r>
          <rPr>
            <sz val="11"/>
            <color theme="1"/>
            <rFont val="맑은 고딕"/>
            <family val="2"/>
            <scheme val="minor"/>
          </rPr>
          <t>HP:
1월 14일 170,000 &gt; 200,000
1/15 20&gt;23</t>
        </r>
      </text>
    </comment>
    <comment ref="F59" authorId="0" shapeId="0" xr:uid="{AA2CEEB5-0A6F-4900-8D69-19C22CD607F4}">
      <text>
        <r>
          <rPr>
            <sz val="11"/>
            <color theme="1"/>
            <rFont val="맑은 고딕"/>
            <family val="2"/>
            <scheme val="minor"/>
          </rPr>
          <t>HP:
1월14일 230,000 &gt; 25
0,000</t>
        </r>
      </text>
    </comment>
    <comment ref="B60" authorId="0" shapeId="0" xr:uid="{AE2E552A-B780-47E7-A26A-E9C8347F07E4}">
      <text>
        <r>
          <rPr>
            <sz val="11"/>
            <color theme="1"/>
            <rFont val="맑은 고딕"/>
            <family val="2"/>
            <scheme val="minor"/>
          </rPr>
          <t>HP:
1월 14일 130,000 &gt; 150,000</t>
        </r>
      </text>
    </comment>
    <comment ref="C60" authorId="0" shapeId="0" xr:uid="{54AEA6ED-75A6-4591-8C15-3D6692B99E20}">
      <text>
        <r>
          <rPr>
            <sz val="11"/>
            <color theme="1"/>
            <rFont val="맑은 고딕"/>
            <family val="2"/>
            <scheme val="minor"/>
          </rPr>
          <t>HP:
1/14 15&gt;16
1/17 16&gt;17</t>
        </r>
      </text>
    </comment>
    <comment ref="D60" authorId="0" shapeId="0" xr:uid="{DFE2E1AC-8304-475E-A1F3-9ECE50B19303}">
      <text>
        <r>
          <rPr>
            <sz val="11"/>
            <color theme="1"/>
            <rFont val="맑은 고딕"/>
            <family val="2"/>
            <scheme val="minor"/>
          </rPr>
          <t>HP:
1/14 15&gt;18
1/15 18&gt;21</t>
        </r>
      </text>
    </comment>
    <comment ref="E60" authorId="0" shapeId="0" xr:uid="{4ABF67AD-4944-4081-8343-AA81D514FF47}">
      <text>
        <r>
          <rPr>
            <sz val="11"/>
            <color theme="1"/>
            <rFont val="맑은 고딕"/>
            <family val="2"/>
            <scheme val="minor"/>
          </rPr>
          <t>HP:
1월 14일 180,000 &gt; 200,000</t>
        </r>
      </text>
    </comment>
    <comment ref="F60" authorId="0" shapeId="0" xr:uid="{78A0ABB7-C372-4C2C-A393-FD94743D4970}">
      <text>
        <r>
          <rPr>
            <sz val="11"/>
            <color theme="1"/>
            <rFont val="맑은 고딕"/>
            <family val="2"/>
            <scheme val="minor"/>
          </rPr>
          <t>HP:
1월14일 230,000 &gt; 25
0,000</t>
        </r>
      </text>
    </comment>
    <comment ref="B61" authorId="0" shapeId="0" xr:uid="{21210865-2C0F-4C71-ACFB-55A522572FE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13&gt;15
1/17 15&gt;16</t>
        </r>
      </text>
    </comment>
    <comment ref="C61" authorId="0" shapeId="0" xr:uid="{8E94CC35-59F5-4FBF-AD8B-7AD9DC9EFCA2}">
      <text>
        <r>
          <rPr>
            <sz val="11"/>
            <color theme="1"/>
            <rFont val="맑은 고딕"/>
            <family val="2"/>
            <scheme val="minor"/>
          </rPr>
          <t>HP:
1/14 15&gt;16
1/17 16&gt;17</t>
        </r>
      </text>
    </comment>
    <comment ref="E61" authorId="0" shapeId="0" xr:uid="{1792539B-E62C-489B-B601-C74D0E8FEBB0}">
      <text>
        <r>
          <rPr>
            <sz val="11"/>
            <color theme="1"/>
            <rFont val="맑은 고딕"/>
            <family val="2"/>
            <scheme val="minor"/>
          </rPr>
          <t>HP:
1월 14일 180,000 &gt; 200,000
1/15 20&gt;23</t>
        </r>
      </text>
    </comment>
    <comment ref="F61" authorId="0" shapeId="0" xr:uid="{6EDE9B6E-C7D8-4B86-9384-ACB42B1A942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1/12 25&gt;38
</t>
        </r>
      </text>
    </comment>
    <comment ref="B62" authorId="0" shapeId="0" xr:uid="{8B36548D-29FA-4068-8933-43A9AF4FC0D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160,000 &gt; 170,000
1/22 17&gt;18</t>
        </r>
      </text>
    </comment>
    <comment ref="C62" authorId="0" shapeId="0" xr:uid="{3357B4BC-6498-47A9-A14C-3E310AEF98B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160,000 &gt; 180,000</t>
        </r>
      </text>
    </comment>
    <comment ref="E62" authorId="0" shapeId="0" xr:uid="{58C16DDF-4B73-4764-9DDB-6B3866CE099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230,000 &gt; 25
0,000</t>
        </r>
      </text>
    </comment>
    <comment ref="F62" authorId="0" shapeId="0" xr:uid="{584CDCC7-165B-4CF4-8B6C-B5F643D13EE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25&gt;30
1/15 30 &gt;38</t>
        </r>
      </text>
    </comment>
    <comment ref="D63" authorId="0" shapeId="0" xr:uid="{0C1407D7-3074-4314-9EC0-372E9A0C4AB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220,000 &gt; 230,000
1/17 23&gt;24</t>
        </r>
      </text>
    </comment>
    <comment ref="E63" authorId="0" shapeId="0" xr:uid="{39B75A32-A218-4308-9344-22574932EA0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230,000 &gt; 25
0,000</t>
        </r>
      </text>
    </comment>
    <comment ref="B64" authorId="0" shapeId="0" xr:uid="{3D090258-3D13-4225-9387-5DAC89D959B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13&gt;15
1/17 15&gt;16</t>
        </r>
      </text>
    </comment>
    <comment ref="D64" authorId="0" shapeId="0" xr:uid="{9E9C1D25-5C62-482A-AEE4-8FA794799191}">
      <text>
        <r>
          <rPr>
            <sz val="11"/>
            <color theme="1"/>
            <rFont val="맑은 고딕"/>
            <family val="2"/>
            <scheme val="minor"/>
          </rPr>
          <t>HP:
1/14 15&gt;18
1/15 18&gt;21</t>
        </r>
      </text>
    </comment>
    <comment ref="E64" authorId="0" shapeId="0" xr:uid="{84FC8152-6201-40F6-8AFD-363428B2B715}">
      <text>
        <r>
          <rPr>
            <sz val="11"/>
            <color theme="1"/>
            <rFont val="맑은 고딕"/>
            <family val="2"/>
            <scheme val="minor"/>
          </rPr>
          <t>HP:
1월 14일 180,000 &gt; 200,000
1/15 20&gt;23</t>
        </r>
      </text>
    </comment>
    <comment ref="B65" authorId="0" shapeId="0" xr:uid="{C04AD76D-DB20-4947-BDEB-13C02C1266D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13&gt;15
1/17 15&gt;16</t>
        </r>
      </text>
    </comment>
    <comment ref="C65" authorId="0" shapeId="0" xr:uid="{E51B5ABA-62D4-4BC6-A765-7624D1F38FF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14&gt;17</t>
        </r>
      </text>
    </comment>
    <comment ref="D65" authorId="0" shapeId="0" xr:uid="{E50F895A-7691-4673-8897-690CD5633B24}">
      <text>
        <r>
          <rPr>
            <sz val="11"/>
            <color theme="1"/>
            <rFont val="맑은 고딕"/>
            <family val="2"/>
            <scheme val="minor"/>
          </rPr>
          <t>HP:
1/14 15&gt;18
1/15 18&gt;21</t>
        </r>
      </text>
    </comment>
    <comment ref="E65" authorId="0" shapeId="0" xr:uid="{4CC770F8-BB61-48A3-BF02-ECFFA56CB7E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1/17 18&gt;23</t>
        </r>
      </text>
    </comment>
    <comment ref="F65" authorId="0" shapeId="0" xr:uid="{DAC864F8-530A-4F88-91BD-CDF966A1B03E}">
      <text>
        <r>
          <rPr>
            <sz val="11"/>
            <color theme="1"/>
            <rFont val="맑은 고딕"/>
            <family val="2"/>
            <scheme val="minor"/>
          </rPr>
          <t>HP:
1월14일20&gt;26</t>
        </r>
      </text>
    </comment>
    <comment ref="B66" authorId="0" shapeId="0" xr:uid="{9C29E61A-6416-49C6-A38D-5B394F8DD9D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13&gt;15
1/17 15&gt;16</t>
        </r>
      </text>
    </comment>
    <comment ref="C66" authorId="0" shapeId="0" xr:uid="{1C67A53B-D2BF-498E-8382-6B074A77624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14&gt;17</t>
        </r>
      </text>
    </comment>
    <comment ref="D66" authorId="0" shapeId="0" xr:uid="{63EA36D1-98D5-45C6-8483-131CD37D3353}">
      <text>
        <r>
          <rPr>
            <sz val="11"/>
            <color theme="1"/>
            <rFont val="맑은 고딕"/>
            <family val="2"/>
            <scheme val="minor"/>
          </rPr>
          <t>HP:
1/14 15&gt;18
1/15 18&gt;21</t>
        </r>
      </text>
    </comment>
    <comment ref="E66" authorId="0" shapeId="0" xr:uid="{C29C5AEE-6404-4F5D-A94A-89C7C43C719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1/17 18&gt;23</t>
        </r>
      </text>
    </comment>
    <comment ref="B67" authorId="0" shapeId="0" xr:uid="{B874CFB9-C5CE-4188-A9D7-4274C400B19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13&gt;15
1/17 15&gt;16</t>
        </r>
      </text>
    </comment>
    <comment ref="C67" authorId="0" shapeId="0" xr:uid="{A8632F9F-6AC8-4E0C-BED2-251BAAA1FF3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14&gt;17</t>
        </r>
      </text>
    </comment>
    <comment ref="D67" authorId="0" shapeId="0" xr:uid="{A9EA06D4-8231-4CB9-A3CA-C3A95D845C4C}">
      <text>
        <r>
          <rPr>
            <sz val="11"/>
            <color theme="1"/>
            <rFont val="맑은 고딕"/>
            <family val="2"/>
            <scheme val="minor"/>
          </rPr>
          <t>HP:
1/14 15&gt;18
1/15 18&gt;21</t>
        </r>
      </text>
    </comment>
    <comment ref="E67" authorId="0" shapeId="0" xr:uid="{D4291AFC-2893-4642-B6F4-FB991FB091B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1/17 18&gt;23</t>
        </r>
      </text>
    </comment>
    <comment ref="F67" authorId="0" shapeId="0" xr:uid="{66816650-8DF8-445D-8699-C446EB118009}">
      <text>
        <r>
          <rPr>
            <sz val="11"/>
            <color theme="1"/>
            <rFont val="맑은 고딕"/>
            <family val="2"/>
            <scheme val="minor"/>
          </rPr>
          <t>HP:
1월14일20&gt;26</t>
        </r>
      </text>
    </comment>
    <comment ref="B68" authorId="0" shapeId="0" xr:uid="{EB423421-EF7E-482E-95FD-C1DF786C9B4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16&gt;17</t>
        </r>
      </text>
    </comment>
    <comment ref="C68" authorId="0" shapeId="0" xr:uid="{981D9F05-7515-46F9-8406-7CFC175BCBE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14&gt;18</t>
        </r>
      </text>
    </comment>
    <comment ref="D68" authorId="0" shapeId="0" xr:uid="{D1C9F2AB-309F-40AF-886E-56253B1CD3E5}">
      <text>
        <r>
          <rPr>
            <sz val="11"/>
            <color theme="1"/>
            <rFont val="맑은 고딕"/>
            <family val="2"/>
            <scheme val="minor"/>
          </rPr>
          <t>HP:
1/14 15&gt;18
1/15 18&gt;21</t>
        </r>
      </text>
    </comment>
    <comment ref="E68" authorId="0" shapeId="0" xr:uid="{00000000-0006-0000-0000-000004000000}">
      <text>
        <r>
          <rPr>
            <sz val="11"/>
            <color theme="1"/>
            <rFont val="맑은 고딕"/>
            <family val="2"/>
            <scheme val="minor"/>
          </rPr>
          <t>HP:
1월14일 180,000 &gt; 200,000
1/15 20&gt;23</t>
        </r>
      </text>
    </comment>
    <comment ref="F68" authorId="0" shapeId="0" xr:uid="{2EB8E10A-4C2E-42BF-92FB-985496F54BA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23&gt;26</t>
        </r>
      </text>
    </comment>
    <comment ref="B69" authorId="0" shapeId="0" xr:uid="{8F3200E5-4220-48D7-A957-5F568523A81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15&gt; 19</t>
        </r>
      </text>
    </comment>
    <comment ref="D69" authorId="0" shapeId="0" xr:uid="{00000000-0006-0000-0000-000006000000}">
      <text>
        <r>
          <rPr>
            <sz val="11"/>
            <color theme="1"/>
            <rFont val="맑은 고딕"/>
            <family val="2"/>
            <scheme val="minor"/>
          </rPr>
          <t>HP:
1월14일 220,000 &gt; 240,000</t>
        </r>
      </text>
    </comment>
    <comment ref="F69" authorId="0" shapeId="0" xr:uid="{BB8D7BDB-7AD6-4D95-BA5E-98188B52F89A}">
      <text>
        <r>
          <rPr>
            <sz val="11"/>
            <color theme="1"/>
            <rFont val="맑은 고딕"/>
            <family val="2"/>
            <scheme val="minor"/>
          </rPr>
          <t>HP:
1월14일 270,000 &gt; 300,000</t>
        </r>
      </text>
    </comment>
    <comment ref="B70" authorId="0" shapeId="0" xr:uid="{F17DF5B8-61A4-4FC9-A8F4-1FF4F6975D8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15&gt; 19</t>
        </r>
      </text>
    </comment>
    <comment ref="B71" authorId="0" shapeId="0" xr:uid="{9D1BCE71-8720-4A80-A360-011ABC29F6E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16&gt;17</t>
        </r>
      </text>
    </comment>
    <comment ref="F72" authorId="0" shapeId="0" xr:uid="{00000000-0006-0000-0000-000007000000}">
      <text>
        <r>
          <rPr>
            <sz val="11"/>
            <color theme="1"/>
            <rFont val="맑은 고딕"/>
            <family val="2"/>
            <scheme val="minor"/>
          </rPr>
          <t>HP:
1/4 21&gt;23
1/5 23&gt;26</t>
        </r>
      </text>
    </comment>
    <comment ref="B73" authorId="0" shapeId="0" xr:uid="{B5CA5BC2-71F8-4334-BB68-1CEBAD6B03C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16&gt;17</t>
        </r>
      </text>
    </comment>
    <comment ref="C73" authorId="0" shapeId="0" xr:uid="{47B4FF0E-964A-479B-88B2-9B8138F9B64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14&gt;18</t>
        </r>
      </text>
    </comment>
    <comment ref="D73" authorId="0" shapeId="0" xr:uid="{9CFC97FE-5753-4289-9D68-400AD2ADC75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17&gt;18
1/15 18&gt;21</t>
        </r>
      </text>
    </comment>
    <comment ref="F73" authorId="0" shapeId="0" xr:uid="{7B1E23C8-0536-4B79-B351-0E7BAA9E4988}">
      <text>
        <r>
          <rPr>
            <sz val="11"/>
            <color theme="1"/>
            <rFont val="맑은 고딕"/>
            <family val="2"/>
            <scheme val="minor"/>
          </rPr>
          <t>HP:
1/4 21&gt;23
1/5 23&gt;26</t>
        </r>
      </text>
    </comment>
    <comment ref="D74" authorId="0" shapeId="0" xr:uid="{5999142E-B054-46AF-9C33-E64779475DB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17&gt;18
1/15 18&gt;21</t>
        </r>
      </text>
    </comment>
    <comment ref="E74" authorId="0" shapeId="0" xr:uid="{00000000-0006-0000-0000-00000D000000}">
      <text>
        <r>
          <rPr>
            <sz val="11"/>
            <color theme="1"/>
            <rFont val="맑은 고딕"/>
            <family val="2"/>
            <scheme val="minor"/>
          </rPr>
          <t>HP:
1월14일 190,000 &gt; 200,000
1/15 20 &gt; 23</t>
        </r>
      </text>
    </comment>
    <comment ref="F74" authorId="0" shapeId="0" xr:uid="{C56C00DF-4595-4312-860F-ADB6CE9E18B1}">
      <text>
        <r>
          <rPr>
            <sz val="11"/>
            <color theme="1"/>
            <rFont val="맑은 고딕"/>
            <family val="2"/>
            <scheme val="minor"/>
          </rPr>
          <t>HP:
1/4 21&gt;23
1/5 23&gt;26</t>
        </r>
      </text>
    </comment>
    <comment ref="D76" authorId="0" shapeId="0" xr:uid="{D4445DC7-80DD-4AB5-969E-3EE4275DEEF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23&gt;26</t>
        </r>
      </text>
    </comment>
    <comment ref="D77" authorId="0" shapeId="0" xr:uid="{5B076523-1021-4125-9B82-B2D6BC49F8C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23&gt;26</t>
        </r>
      </text>
    </comment>
    <comment ref="D78" authorId="0" shapeId="0" xr:uid="{AD05B77F-90FD-4CA7-BD10-C194EEED107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17&gt;18
1/15 18&gt;21</t>
        </r>
      </text>
    </comment>
    <comment ref="E78" authorId="0" shapeId="0" xr:uid="{86C57CCD-FEB0-4BA6-857C-1BCFACE8304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20&gt;23</t>
        </r>
      </text>
    </comment>
    <comment ref="C79" authorId="0" shapeId="0" xr:uid="{58E0749F-1113-4F00-8303-5A167CE2596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14&gt;18</t>
        </r>
      </text>
    </comment>
    <comment ref="D79" authorId="0" shapeId="0" xr:uid="{AD3CB67D-E83D-486D-828F-B7B6D22DADF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17&gt;18
1/15 18&gt;21</t>
        </r>
      </text>
    </comment>
    <comment ref="E79" authorId="0" shapeId="0" xr:uid="{00000000-0006-0000-0000-000010000000}">
      <text>
        <r>
          <rPr>
            <sz val="11"/>
            <color theme="1"/>
            <rFont val="맑은 고딕"/>
            <family val="2"/>
            <scheme val="minor"/>
          </rPr>
          <t>HP:
1월 14일 18&gt;20
1/15 20&gt;23</t>
        </r>
      </text>
    </comment>
    <comment ref="F79" authorId="0" shapeId="0" xr:uid="{AFF3C42C-EB04-4A5F-B25E-586D292B8948}">
      <text>
        <r>
          <rPr>
            <sz val="11"/>
            <color theme="1"/>
            <rFont val="맑은 고딕"/>
            <family val="2"/>
            <scheme val="minor"/>
          </rPr>
          <t>HP:
1/4 21&gt;23
1/5 23&gt;26</t>
        </r>
      </text>
    </comment>
    <comment ref="B80" authorId="0" shapeId="0" xr:uid="{2CBB53E0-1EB9-4F9D-8C98-17C8C56E349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16&gt;17</t>
        </r>
      </text>
    </comment>
    <comment ref="D80" authorId="0" shapeId="0" xr:uid="{CAE6698B-E2A3-4842-AC1C-7197210BD38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17&gt;18
1/15 18&gt;21</t>
        </r>
      </text>
    </comment>
    <comment ref="E80" authorId="0" shapeId="0" xr:uid="{F7DE7993-C9F0-485D-89F2-4CAFD0B5136F}">
      <text>
        <r>
          <rPr>
            <sz val="11"/>
            <color theme="1"/>
            <rFont val="맑은 고딕"/>
            <family val="2"/>
            <scheme val="minor"/>
          </rPr>
          <t>HP:
1월 14일 18&gt;20
1/15 20&gt;23</t>
        </r>
      </text>
    </comment>
    <comment ref="F80" authorId="0" shapeId="0" xr:uid="{3883FA12-362C-48B9-AEF1-F69B258FA5DE}">
      <text>
        <r>
          <rPr>
            <sz val="11"/>
            <color theme="1"/>
            <rFont val="맑은 고딕"/>
            <family val="2"/>
            <scheme val="minor"/>
          </rPr>
          <t>HP:
1/4 21&gt;23
1/5 23&gt;26</t>
        </r>
      </text>
    </comment>
    <comment ref="C81" authorId="0" shapeId="0" xr:uid="{2BCFA6C8-3F56-4C57-9A0A-29305C07A21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14&gt;18</t>
        </r>
      </text>
    </comment>
    <comment ref="D81" authorId="0" shapeId="0" xr:uid="{312BC5A5-BEA7-4F8D-9F16-C3E30E93A06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17&gt;18
1/15 18&gt;21</t>
        </r>
      </text>
    </comment>
    <comment ref="E81" authorId="0" shapeId="0" xr:uid="{BAC52A94-40AD-495E-AD5C-AA14265DFF25}">
      <text>
        <r>
          <rPr>
            <sz val="11"/>
            <color theme="1"/>
            <rFont val="맑은 고딕"/>
            <family val="2"/>
            <scheme val="minor"/>
          </rPr>
          <t>HP:
1월 14일 18&gt;20
1/15 20&gt;23</t>
        </r>
      </text>
    </comment>
    <comment ref="F81" authorId="0" shapeId="0" xr:uid="{0258CEE4-9AA3-40F5-B4C3-B08962CC81E6}">
      <text>
        <r>
          <rPr>
            <sz val="11"/>
            <color theme="1"/>
            <rFont val="맑은 고딕"/>
            <family val="2"/>
            <scheme val="minor"/>
          </rPr>
          <t>HP:
1/4 21&gt;23
1/5 23&gt;26</t>
        </r>
      </text>
    </comment>
    <comment ref="B82" authorId="0" shapeId="0" xr:uid="{8790FFCD-12F8-4C63-A161-1B895CBF3B6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1/18 16&gt;17</t>
        </r>
      </text>
    </comment>
    <comment ref="C82" authorId="0" shapeId="0" xr:uid="{D1329DD1-4A19-4B93-A135-20D84DE0981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14&gt;18</t>
        </r>
      </text>
    </comment>
    <comment ref="D82" authorId="0" shapeId="0" xr:uid="{20E48085-273B-4B05-8D68-2DC45EC68A7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17&gt;18
1/15 18&gt;21</t>
        </r>
      </text>
    </comment>
    <comment ref="E82" authorId="0" shapeId="0" xr:uid="{EEF4C8D9-5002-49FB-9064-E0D644D18640}">
      <text>
        <r>
          <rPr>
            <sz val="11"/>
            <color theme="1"/>
            <rFont val="맑은 고딕"/>
            <family val="2"/>
            <scheme val="minor"/>
          </rPr>
          <t>HP:
1월 14일 18&gt;20
1/15 20&gt;23</t>
        </r>
      </text>
    </comment>
    <comment ref="F82" authorId="0" shapeId="0" xr:uid="{4723BD1A-A0BE-4A8E-BF37-CCB9CD0222A7}">
      <text>
        <r>
          <rPr>
            <sz val="11"/>
            <color theme="1"/>
            <rFont val="맑은 고딕"/>
            <family val="2"/>
            <scheme val="minor"/>
          </rPr>
          <t>HP:
1/4 21&gt;23
1/5 23&gt;26</t>
        </r>
      </text>
    </comment>
    <comment ref="B83" authorId="0" shapeId="0" xr:uid="{00000000-0006-0000-0000-00001F000000}">
      <text>
        <r>
          <rPr>
            <sz val="11"/>
            <color theme="1"/>
            <rFont val="맑은 고딕"/>
            <family val="2"/>
            <scheme val="minor"/>
          </rPr>
          <t>HP:
1월 14일 140,000 &gt; 180,000</t>
        </r>
      </text>
    </comment>
    <comment ref="C83" authorId="0" shapeId="0" xr:uid="{00000000-0006-0000-0000-000020000000}">
      <text>
        <r>
          <rPr>
            <sz val="11"/>
            <color theme="1"/>
            <rFont val="맑은 고딕"/>
            <family val="2"/>
            <scheme val="minor"/>
          </rPr>
          <t>HP:
1월 14일 160,000 &gt; 190,000</t>
        </r>
      </text>
    </comment>
    <comment ref="D83" authorId="0" shapeId="0" xr:uid="{FE0EEB3E-086C-4A9C-9B18-58DC2F1F5E1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23&gt;26</t>
        </r>
      </text>
    </comment>
    <comment ref="E83" authorId="0" shapeId="0" xr:uid="{E3F4E905-786E-42B6-9915-41993BB8065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24&gt;27</t>
        </r>
      </text>
    </comment>
    <comment ref="F83" authorId="0" shapeId="0" xr:uid="{30129C42-8142-49C2-840B-EFE0F8FCF4E7}">
      <text>
        <r>
          <rPr>
            <sz val="11"/>
            <color theme="1"/>
            <rFont val="맑은 고딕"/>
            <family val="2"/>
            <scheme val="minor"/>
          </rPr>
          <t>HP:
1월14일 260,000 &gt; 300,000
1/15 30 &gt;32</t>
        </r>
      </text>
    </comment>
    <comment ref="B84" authorId="0" shapeId="0" xr:uid="{D7F2433F-4CC0-43B1-A2F1-DE77E459AAAB}">
      <text>
        <r>
          <rPr>
            <sz val="11"/>
            <color theme="1"/>
            <rFont val="맑은 고딕"/>
            <family val="2"/>
            <scheme val="minor"/>
          </rPr>
          <t>HP:
1월 14일 150,000 &gt; 180,000</t>
        </r>
      </text>
    </comment>
    <comment ref="D84" authorId="0" shapeId="0" xr:uid="{EA890DD2-F607-4048-AB7C-380DB0363C3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23&gt;26</t>
        </r>
      </text>
    </comment>
    <comment ref="E84" authorId="0" shapeId="0" xr:uid="{9978F916-2312-4D23-80F8-22F52D53D75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24&gt;27</t>
        </r>
      </text>
    </comment>
    <comment ref="B85" authorId="0" shapeId="0" xr:uid="{0B352CC2-E8D4-4BA9-BD8D-0F81F5D9C32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4/19 11&gt;16</t>
        </r>
      </text>
    </comment>
    <comment ref="D85" authorId="0" shapeId="0" xr:uid="{AF919F8E-6711-4C65-87F8-B503FA7842F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17&gt;18
1/15 18&gt;21</t>
        </r>
      </text>
    </comment>
    <comment ref="E85" authorId="0" shapeId="0" xr:uid="{384CDF06-48A9-472F-AF4B-F0CB01BE66AF}">
      <text>
        <r>
          <rPr>
            <sz val="11"/>
            <color theme="1"/>
            <rFont val="맑은 고딕"/>
            <family val="2"/>
            <scheme val="minor"/>
          </rPr>
          <t>HP:
1월 14일 18&gt;20
1/15 20&gt;23</t>
        </r>
      </text>
    </comment>
    <comment ref="B86" authorId="0" shapeId="0" xr:uid="{00000000-0006-0000-0000-000025000000}">
      <text>
        <r>
          <rPr>
            <sz val="11"/>
            <color theme="1"/>
            <rFont val="맑은 고딕"/>
            <family val="2"/>
            <scheme val="minor"/>
          </rPr>
          <t>HP:
1월 14일 140,000 &gt; 160,000</t>
        </r>
      </text>
    </comment>
    <comment ref="D86" authorId="0" shapeId="0" xr:uid="{E45BA8A1-B917-4974-A87B-79A632B205CD}">
      <text>
        <r>
          <rPr>
            <sz val="11"/>
            <color theme="1"/>
            <rFont val="맑은 고딕"/>
            <family val="2"/>
            <scheme val="minor"/>
          </rPr>
          <t>HP:
1월 14일 170,000 &gt; 180,000
1/5 18&gt;21</t>
        </r>
      </text>
    </comment>
    <comment ref="E86" authorId="0" shapeId="0" xr:uid="{00000000-0006-0000-0000-000027000000}">
      <text>
        <r>
          <rPr>
            <sz val="11"/>
            <color theme="1"/>
            <rFont val="맑은 고딕"/>
            <family val="2"/>
            <scheme val="minor"/>
          </rPr>
          <t>HP:
1월 14일 180,000 &gt; 200,000
1/15 20&gt;23</t>
        </r>
      </text>
    </comment>
    <comment ref="F86" authorId="0" shapeId="0" xr:uid="{00000000-0006-0000-0000-000028000000}">
      <text>
        <r>
          <rPr>
            <sz val="11"/>
            <color theme="1"/>
            <rFont val="맑은 고딕"/>
            <family val="2"/>
            <scheme val="minor"/>
          </rPr>
          <t>HP:
1월14일 200,000 &gt; 23
0,000</t>
        </r>
      </text>
    </comment>
    <comment ref="B87" authorId="0" shapeId="0" xr:uid="{65EF654A-1AAE-4FF3-9839-9B9922B82623}">
      <text>
        <r>
          <rPr>
            <sz val="11"/>
            <color theme="1"/>
            <rFont val="맑은 고딕"/>
            <family val="2"/>
            <scheme val="minor"/>
          </rPr>
          <t>HP:
1월 14일 110,000 &gt; 160,000</t>
        </r>
      </text>
    </comment>
    <comment ref="D87" authorId="0" shapeId="0" xr:uid="{E37E0513-E81B-4EB0-8E78-64C4F9D13DF4}">
      <text>
        <r>
          <rPr>
            <sz val="11"/>
            <color theme="1"/>
            <rFont val="맑은 고딕"/>
            <family val="2"/>
            <scheme val="minor"/>
          </rPr>
          <t>HP:
1월 14일 170,000 &gt; 180,000
1/5 18&gt;21</t>
        </r>
      </text>
    </comment>
    <comment ref="E87" authorId="0" shapeId="0" xr:uid="{EBA3E772-1CFF-4FCA-B906-89A62073792C}">
      <text>
        <r>
          <rPr>
            <sz val="11"/>
            <color theme="1"/>
            <rFont val="맑은 고딕"/>
            <family val="2"/>
            <scheme val="minor"/>
          </rPr>
          <t>HP:
1월 14일 180,000 &gt; 200,000
1/15 20&gt;23</t>
        </r>
      </text>
    </comment>
    <comment ref="F87" authorId="0" shapeId="0" xr:uid="{2FCCFA82-0031-4850-A7D4-C937A57D87C7}">
      <text>
        <r>
          <rPr>
            <sz val="11"/>
            <color theme="1"/>
            <rFont val="맑은 고딕"/>
            <family val="2"/>
            <scheme val="minor"/>
          </rPr>
          <t>HP:
1월14일 200,000 &gt; 23
0,000</t>
        </r>
      </text>
    </comment>
    <comment ref="B88" authorId="0" shapeId="0" xr:uid="{D44F4A46-D95C-4484-814B-5C9C76E92795}">
      <text>
        <r>
          <rPr>
            <sz val="11"/>
            <color theme="1"/>
            <rFont val="맑은 고딕"/>
            <family val="2"/>
            <scheme val="minor"/>
          </rPr>
          <t>HP:
1월 14일 110,000 &gt; 160,000</t>
        </r>
      </text>
    </comment>
    <comment ref="C88" authorId="0" shapeId="0" xr:uid="{EEBD3DF4-60F2-4DA1-9B57-15A96DC9A90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17&gt;19</t>
        </r>
      </text>
    </comment>
    <comment ref="E88" authorId="0" shapeId="0" xr:uid="{2372950A-6085-42C5-AA6A-C90E97D6583F}">
      <text>
        <r>
          <rPr>
            <sz val="11"/>
            <color theme="1"/>
            <rFont val="맑은 고딕"/>
            <family val="2"/>
            <scheme val="minor"/>
          </rPr>
          <t>HP:
1월 14일 180,000 &gt; 200,000
1/15 20&gt;23</t>
        </r>
      </text>
    </comment>
    <comment ref="F88" authorId="0" shapeId="0" xr:uid="{A3D96555-F528-4B3C-9159-8D87E803BCA0}">
      <text>
        <r>
          <rPr>
            <sz val="11"/>
            <color theme="1"/>
            <rFont val="맑은 고딕"/>
            <family val="2"/>
            <scheme val="minor"/>
          </rPr>
          <t>HP:
1월14일 200,000 &gt; 23
0,000</t>
        </r>
      </text>
    </comment>
    <comment ref="B89" authorId="0" shapeId="0" xr:uid="{C56FA94F-3E0B-4C13-9522-81B6F5739754}">
      <text>
        <r>
          <rPr>
            <sz val="11"/>
            <color theme="1"/>
            <rFont val="맑은 고딕"/>
            <family val="2"/>
            <scheme val="minor"/>
          </rPr>
          <t>HP:
1월 14일 110,000 &gt; 160,000</t>
        </r>
      </text>
    </comment>
    <comment ref="C89" authorId="0" shapeId="0" xr:uid="{9402305B-C215-4D6B-BBBA-4F515D5BF7A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17&gt;19</t>
        </r>
      </text>
    </comment>
    <comment ref="F89" authorId="0" shapeId="0" xr:uid="{AAF30492-530C-46B9-B3F2-A7797069A45B}">
      <text>
        <r>
          <rPr>
            <sz val="11"/>
            <color theme="1"/>
            <rFont val="맑은 고딕"/>
            <family val="2"/>
            <scheme val="minor"/>
          </rPr>
          <t>HP:
1월14일 200,000 &gt; 23
0,000</t>
        </r>
      </text>
    </comment>
    <comment ref="B90" authorId="0" shapeId="0" xr:uid="{77B0DF2E-6119-4681-B8E8-E2E0A620D8C8}">
      <text>
        <r>
          <rPr>
            <sz val="11"/>
            <color theme="1"/>
            <rFont val="맑은 고딕"/>
            <family val="2"/>
            <scheme val="minor"/>
          </rPr>
          <t>HP:
1월 14일 170,000 &gt; 180,000</t>
        </r>
      </text>
    </comment>
    <comment ref="C90" authorId="0" shapeId="0" xr:uid="{77420065-21BA-43AC-BC4A-26CA26D2CE9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170,000 &gt; 190,000
1/15 19&gt;21</t>
        </r>
      </text>
    </comment>
    <comment ref="F90" authorId="0" shapeId="0" xr:uid="{847C702F-B190-468C-BE39-9C58215E8BB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250,000 &gt; 30
0,000
1/15 30&gt;32</t>
        </r>
      </text>
    </comment>
    <comment ref="B91" authorId="0" shapeId="0" xr:uid="{A64AF385-704D-4D2B-B302-899C45E4DE59}">
      <text>
        <r>
          <rPr>
            <sz val="11"/>
            <color theme="1"/>
            <rFont val="맑은 고딕"/>
            <family val="2"/>
            <scheme val="minor"/>
          </rPr>
          <t>HP:
1월 14일 160,000 &gt; 180,000</t>
        </r>
      </text>
    </comment>
    <comment ref="D91" authorId="0" shapeId="0" xr:uid="{23301FCC-4D85-428D-8098-407F7074F47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24&gt;26</t>
        </r>
      </text>
    </comment>
    <comment ref="F91" authorId="0" shapeId="0" xr:uid="{E8368D1E-82FA-494A-8A7C-308FB9C2080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250,000 &gt; 30
0,000
1/15 30&gt;32</t>
        </r>
      </text>
    </comment>
    <comment ref="B92" authorId="0" shapeId="0" xr:uid="{6F4AEDB4-A429-4703-AEB8-7BE36B03D6F8}">
      <text>
        <r>
          <rPr>
            <sz val="11"/>
            <color theme="1"/>
            <rFont val="맑은 고딕"/>
            <family val="2"/>
            <scheme val="minor"/>
          </rPr>
          <t>HP:
1월 14일 120,000 &gt; 160,000</t>
        </r>
      </text>
    </comment>
    <comment ref="D92" authorId="0" shapeId="0" xr:uid="{32560352-3E30-4945-85D0-2DCA67732BF0}">
      <text>
        <r>
          <rPr>
            <sz val="11"/>
            <color theme="1"/>
            <rFont val="맑은 고딕"/>
            <family val="2"/>
            <scheme val="minor"/>
          </rPr>
          <t>HP:
1월 14일 170,000 &gt; 180,000
1/5 18&gt;21</t>
        </r>
      </text>
    </comment>
    <comment ref="E92" authorId="0" shapeId="0" xr:uid="{AC9E4590-2F16-46FA-A95F-A27B84232CD4}">
      <text>
        <r>
          <rPr>
            <sz val="11"/>
            <color theme="1"/>
            <rFont val="맑은 고딕"/>
            <family val="2"/>
            <scheme val="minor"/>
          </rPr>
          <t>HP:
1월 14일 180,000 &gt; 200,000
1/15 20&gt;23</t>
        </r>
      </text>
    </comment>
    <comment ref="B93" authorId="0" shapeId="0" xr:uid="{BDF24EBD-779B-4BAF-96FF-CB48FCB9F4A9}">
      <text>
        <r>
          <rPr>
            <sz val="11"/>
            <color theme="1"/>
            <rFont val="맑은 고딕"/>
            <family val="2"/>
            <scheme val="minor"/>
          </rPr>
          <t>HP:
1월 14일 120,000 &gt; 160,000</t>
        </r>
      </text>
    </comment>
    <comment ref="D93" authorId="0" shapeId="0" xr:uid="{0EF8F73B-D17F-48E8-95E4-7F01273D727D}">
      <text>
        <r>
          <rPr>
            <sz val="11"/>
            <color theme="1"/>
            <rFont val="맑은 고딕"/>
            <family val="2"/>
            <scheme val="minor"/>
          </rPr>
          <t>HP:
1월 14일 170,000 &gt; 180,000
1/5 18&gt;21</t>
        </r>
      </text>
    </comment>
    <comment ref="E93" authorId="0" shapeId="0" xr:uid="{FF3AE0F0-63B9-4101-BDE6-488BEA3A2061}">
      <text>
        <r>
          <rPr>
            <sz val="11"/>
            <color theme="1"/>
            <rFont val="맑은 고딕"/>
            <family val="2"/>
            <scheme val="minor"/>
          </rPr>
          <t>HP:
1월 14일 180,000 &gt; 200,000
1/15 20&gt;23</t>
        </r>
      </text>
    </comment>
    <comment ref="B94" authorId="0" shapeId="0" xr:uid="{52E51D48-7BF5-441D-BC39-6C9D211067AA}">
      <text>
        <r>
          <rPr>
            <sz val="11"/>
            <color theme="1"/>
            <rFont val="맑은 고딕"/>
            <family val="2"/>
            <scheme val="minor"/>
          </rPr>
          <t>HP:
1월 14일 120,000 &gt; 160,000</t>
        </r>
      </text>
    </comment>
    <comment ref="D94" authorId="0" shapeId="0" xr:uid="{0B118798-4F60-4F74-8FDB-476F689BDE79}">
      <text>
        <r>
          <rPr>
            <sz val="11"/>
            <color theme="1"/>
            <rFont val="맑은 고딕"/>
            <family val="2"/>
            <scheme val="minor"/>
          </rPr>
          <t>HP:
1월 14일 170,000 &gt; 180,000
1/5 18&gt;21</t>
        </r>
      </text>
    </comment>
    <comment ref="E94" authorId="0" shapeId="0" xr:uid="{595737B5-02F9-4CC5-B45C-647FA8EC3681}">
      <text>
        <r>
          <rPr>
            <sz val="11"/>
            <color theme="1"/>
            <rFont val="맑은 고딕"/>
            <family val="2"/>
            <scheme val="minor"/>
          </rPr>
          <t>HP:
1월 14일 180,000 &gt; 200,000
1/15 20&gt;23</t>
        </r>
      </text>
    </comment>
    <comment ref="F94" authorId="0" shapeId="0" xr:uid="{672786DD-6DDF-473C-B460-37D7BD452946}">
      <text>
        <r>
          <rPr>
            <sz val="11"/>
            <color theme="1"/>
            <rFont val="맑은 고딕"/>
            <family val="2"/>
            <scheme val="minor"/>
          </rPr>
          <t>HP:
1월14일 200,000 &gt; 23
0,000</t>
        </r>
      </text>
    </comment>
    <comment ref="B95" authorId="0" shapeId="0" xr:uid="{506BCF78-43BE-4D57-8992-FC31C615B738}">
      <text>
        <r>
          <rPr>
            <sz val="11"/>
            <color theme="1"/>
            <rFont val="맑은 고딕"/>
            <family val="2"/>
            <scheme val="minor"/>
          </rPr>
          <t>HP:
1월 14일 120,000 &gt; 160,000</t>
        </r>
      </text>
    </comment>
    <comment ref="C95" authorId="0" shapeId="0" xr:uid="{7695AA39-C52A-443C-A8B2-A6FBF53A865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17&gt;19</t>
        </r>
      </text>
    </comment>
    <comment ref="D95" authorId="0" shapeId="0" xr:uid="{78412CA6-90B7-40D6-8CF4-F194035FF8D2}">
      <text>
        <r>
          <rPr>
            <sz val="11"/>
            <color theme="1"/>
            <rFont val="맑은 고딕"/>
            <family val="2"/>
            <scheme val="minor"/>
          </rPr>
          <t>HP:
1월 14일 170,000 &gt; 180,000
1/5 18&gt;21</t>
        </r>
      </text>
    </comment>
    <comment ref="E95" authorId="0" shapeId="0" xr:uid="{D2105ED6-0945-4F8B-93AC-42C737239A0D}">
      <text>
        <r>
          <rPr>
            <sz val="11"/>
            <color theme="1"/>
            <rFont val="맑은 고딕"/>
            <family val="2"/>
            <scheme val="minor"/>
          </rPr>
          <t>HP:
1월 14일 180,000 &gt; 200,000
1/15 20&gt;23</t>
        </r>
      </text>
    </comment>
    <comment ref="F95" authorId="0" shapeId="0" xr:uid="{542B7B09-BDC7-4888-AED3-683ADC0AF388}">
      <text>
        <r>
          <rPr>
            <sz val="11"/>
            <color theme="1"/>
            <rFont val="맑은 고딕"/>
            <family val="2"/>
            <scheme val="minor"/>
          </rPr>
          <t>HP:
1월14일 200,000 &gt; 23
0,000</t>
        </r>
      </text>
    </comment>
    <comment ref="B96" authorId="0" shapeId="0" xr:uid="{8888AAA8-C3C5-4E4C-991E-C1C351B0D3B7}">
      <text>
        <r>
          <rPr>
            <sz val="11"/>
            <color theme="1"/>
            <rFont val="맑은 고딕"/>
            <family val="2"/>
            <scheme val="minor"/>
          </rPr>
          <t>HP:
1월 14일 120,000 &gt; 160,000</t>
        </r>
      </text>
    </comment>
    <comment ref="C96" authorId="0" shapeId="0" xr:uid="{75594134-719E-4EAB-A66B-041363003BF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17&gt;19</t>
        </r>
      </text>
    </comment>
    <comment ref="D96" authorId="0" shapeId="0" xr:uid="{E445A3ED-4982-4EA4-94F0-69A2A9232C19}">
      <text>
        <r>
          <rPr>
            <sz val="11"/>
            <color theme="1"/>
            <rFont val="맑은 고딕"/>
            <family val="2"/>
            <scheme val="minor"/>
          </rPr>
          <t>HP:
1월 14일 170,000 &gt; 180,000
1/5 18&gt;21</t>
        </r>
      </text>
    </comment>
    <comment ref="F96" authorId="0" shapeId="0" xr:uid="{74423821-CE51-41B5-AEC1-AA28B8DF5A5D}">
      <text>
        <r>
          <rPr>
            <sz val="11"/>
            <color theme="1"/>
            <rFont val="맑은 고딕"/>
            <family val="2"/>
            <scheme val="minor"/>
          </rPr>
          <t>HP:
1월14일 200,000 &gt; 23
0,000</t>
        </r>
      </text>
    </comment>
    <comment ref="B97" authorId="0" shapeId="0" xr:uid="{3B2D0EBF-5F45-4B29-BF9C-65A9A297719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160,000 &gt; 180,000</t>
        </r>
      </text>
    </comment>
    <comment ref="D97" authorId="0" shapeId="0" xr:uid="{19ACF7B2-91E0-443F-9ECA-1CC2FB50368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24&gt;26</t>
        </r>
      </text>
    </comment>
    <comment ref="E97" authorId="0" shapeId="0" xr:uid="{80B93780-E24E-48EB-B141-B491B9B20AD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240,000 &gt; 260,000
1/15 26&gt;27</t>
        </r>
      </text>
    </comment>
    <comment ref="F97" authorId="0" shapeId="0" xr:uid="{54DE9574-4429-4F4C-9D7A-BA02E43709C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35 &gt; 40</t>
        </r>
      </text>
    </comment>
    <comment ref="B98" authorId="0" shapeId="0" xr:uid="{92C104C6-921B-4749-9360-66A620797C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160,000 &gt; 180,000</t>
        </r>
      </text>
    </comment>
    <comment ref="D98" authorId="0" shapeId="0" xr:uid="{996CE585-A3AA-4121-B739-DCC4D2C8B7F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24&gt;26</t>
        </r>
      </text>
    </comment>
    <comment ref="B99" authorId="0" shapeId="0" xr:uid="{C77CB334-3A86-45CD-A33F-DBAFDEFC7F57}">
      <text>
        <r>
          <rPr>
            <sz val="11"/>
            <color theme="1"/>
            <rFont val="맑은 고딕"/>
            <family val="2"/>
            <scheme val="minor"/>
          </rPr>
          <t>HP:
1월 14일 120,000 &gt; 160,000</t>
        </r>
      </text>
    </comment>
    <comment ref="E99" authorId="0" shapeId="0" xr:uid="{A88957AD-D3F1-4C27-AFEB-5E41EA7CB6A7}">
      <text>
        <r>
          <rPr>
            <sz val="11"/>
            <color theme="1"/>
            <rFont val="맑은 고딕"/>
            <family val="2"/>
            <scheme val="minor"/>
          </rPr>
          <t>HP:
1월 14일 180,000 &gt; 200,000
1/15 20&gt;23</t>
        </r>
      </text>
    </comment>
    <comment ref="B101" authorId="0" shapeId="0" xr:uid="{D8192912-E1CF-4F97-AA87-F899E9A119ED}">
      <text>
        <r>
          <rPr>
            <sz val="11"/>
            <color theme="1"/>
            <rFont val="맑은 고딕"/>
            <family val="2"/>
            <scheme val="minor"/>
          </rPr>
          <t>HP:
1월 14일 130,000 &gt; 160,000</t>
        </r>
      </text>
    </comment>
    <comment ref="C101" authorId="0" shapeId="0" xr:uid="{9A4EF388-D290-4A8B-8DBA-CC466174D633}">
      <text>
        <r>
          <rPr>
            <sz val="11"/>
            <color theme="1"/>
            <rFont val="맑은 고딕"/>
            <family val="2"/>
            <scheme val="minor"/>
          </rPr>
          <t>HP:
1월 14일 150,000 &gt; 170,000</t>
        </r>
      </text>
    </comment>
    <comment ref="D101" authorId="0" shapeId="0" xr:uid="{9A5372B8-A58A-4791-92DC-ACE9A1D1B6B1}">
      <text>
        <r>
          <rPr>
            <sz val="11"/>
            <color theme="1"/>
            <rFont val="맑은 고딕"/>
            <family val="2"/>
            <scheme val="minor"/>
          </rPr>
          <t>HP:
1월 14일 170,000 &gt; 180,000</t>
        </r>
      </text>
    </comment>
    <comment ref="E101" authorId="0" shapeId="0" xr:uid="{9B33D8DC-6F73-4F7E-9130-9592EA56E6D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180,000 &gt; 200,000</t>
        </r>
      </text>
    </comment>
    <comment ref="B102" authorId="0" shapeId="0" xr:uid="{13A9FDBE-C848-4460-8C1E-F42B53DC3C64}">
      <text>
        <r>
          <rPr>
            <sz val="11"/>
            <color theme="1"/>
            <rFont val="맑은 고딕"/>
            <family val="2"/>
            <scheme val="minor"/>
          </rPr>
          <t>HP:
1월 14일 120,000 &gt; 160,000</t>
        </r>
      </text>
    </comment>
    <comment ref="D102" authorId="0" shapeId="0" xr:uid="{5BF6D3B2-79CD-4857-9B96-B0FB6D9F4686}">
      <text>
        <r>
          <rPr>
            <sz val="11"/>
            <color theme="1"/>
            <rFont val="맑은 고딕"/>
            <family val="2"/>
            <scheme val="minor"/>
          </rPr>
          <t>HP:
1월 14일 160,000 &gt; 180,000</t>
        </r>
      </text>
    </comment>
    <comment ref="E102" authorId="0" shapeId="0" xr:uid="{22723480-F0F5-4547-AA69-7A1C2A40166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190,000 &gt; 200,000</t>
        </r>
      </text>
    </comment>
    <comment ref="F102" authorId="0" shapeId="0" xr:uid="{AEB08A75-1EDE-4CB7-8B08-E05F87587438}">
      <text>
        <r>
          <rPr>
            <sz val="11"/>
            <color theme="1"/>
            <rFont val="맑은 고딕"/>
            <family val="2"/>
            <scheme val="minor"/>
          </rPr>
          <t>HP:
1월14일 200,000 &gt; 23
0,000</t>
        </r>
      </text>
    </comment>
    <comment ref="B103" authorId="0" shapeId="0" xr:uid="{481F1B69-AE86-47F4-AEE4-E68CA19F7554}">
      <text>
        <r>
          <rPr>
            <sz val="11"/>
            <color theme="1"/>
            <rFont val="맑은 고딕"/>
            <family val="2"/>
            <scheme val="minor"/>
          </rPr>
          <t>HP:
1월 14일 130,000 &gt; 160,000</t>
        </r>
      </text>
    </comment>
    <comment ref="D103" authorId="0" shapeId="0" xr:uid="{8A57CADB-8CC2-451C-BB33-E2581144B4AF}">
      <text>
        <r>
          <rPr>
            <sz val="11"/>
            <color theme="1"/>
            <rFont val="맑은 고딕"/>
            <family val="2"/>
            <scheme val="minor"/>
          </rPr>
          <t>HP:
1월 14일 160,000 &gt; 180,000</t>
        </r>
      </text>
    </comment>
    <comment ref="E103" authorId="0" shapeId="0" xr:uid="{68564CD6-9CAA-4319-B7A4-559D700C4BE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180,000 &gt; 200,000</t>
        </r>
      </text>
    </comment>
    <comment ref="F103" authorId="0" shapeId="0" xr:uid="{13B9FD1F-1975-47A6-AA58-C013EC3FDF5A}">
      <text>
        <r>
          <rPr>
            <sz val="11"/>
            <color theme="1"/>
            <rFont val="맑은 고딕"/>
            <family val="2"/>
            <scheme val="minor"/>
          </rPr>
          <t>HP:
1월14일 190,000 &gt; 23
0,000</t>
        </r>
      </text>
    </comment>
    <comment ref="B104" authorId="0" shapeId="0" xr:uid="{098670B4-8E4A-46F1-A431-21794B5334D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160,000 &gt; 180,000</t>
        </r>
      </text>
    </comment>
    <comment ref="D104" authorId="0" shapeId="0" xr:uid="{A9D2A53A-64B2-4F91-B6D5-A2EDDA9433C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190,000 &gt; 240,000</t>
        </r>
      </text>
    </comment>
    <comment ref="E104" authorId="0" shapeId="0" xr:uid="{1155F277-A413-4C93-975E-C61D7937B5D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200,000 &gt; 26
0,000</t>
        </r>
      </text>
    </comment>
    <comment ref="F104" authorId="0" shapeId="0" xr:uid="{787EE105-3924-41C1-8519-9BC174333CD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1/23 20&gt;30</t>
        </r>
      </text>
    </comment>
    <comment ref="D105" authorId="0" shapeId="0" xr:uid="{3C9422D7-18AF-4691-8E06-89554C26F84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200,000 &gt; 240,000</t>
        </r>
      </text>
    </comment>
    <comment ref="E105" authorId="0" shapeId="0" xr:uid="{827378E4-F596-4EC1-9621-6C8DBFB7B60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200,000 &gt; 26
0,000</t>
        </r>
      </text>
    </comment>
    <comment ref="F105" authorId="0" shapeId="0" xr:uid="{4559D9A2-C02A-4488-8099-1D34D91D9E3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1/23 21&gt;30</t>
        </r>
      </text>
    </comment>
    <comment ref="B106" authorId="0" shapeId="0" xr:uid="{7C9D32B0-AEAD-4AA5-9635-6F6ECB1571BB}">
      <text>
        <r>
          <rPr>
            <sz val="11"/>
            <color theme="1"/>
            <rFont val="맑은 고딕"/>
            <family val="2"/>
            <scheme val="minor"/>
          </rPr>
          <t>HP:
1월 14일 120,000 &gt; 160,000</t>
        </r>
      </text>
    </comment>
    <comment ref="C106" authorId="0" shapeId="0" xr:uid="{F610258F-98DF-43AE-949A-6AC365A7758F}">
      <text>
        <r>
          <rPr>
            <sz val="11"/>
            <color theme="1"/>
            <rFont val="맑은 고딕"/>
            <family val="2"/>
            <scheme val="minor"/>
          </rPr>
          <t>HP:
1월 14일 150,000 &gt; 170,000</t>
        </r>
      </text>
    </comment>
    <comment ref="D106" authorId="0" shapeId="0" xr:uid="{4F4BA9EA-D8E0-46D4-9421-7F20A832A8A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180,000</t>
        </r>
      </text>
    </comment>
    <comment ref="E106" authorId="0" shapeId="0" xr:uid="{02EE3B17-414F-457B-9B67-3C750146D1D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 xml:space="preserve">일
</t>
        </r>
        <r>
          <rPr>
            <sz val="9"/>
            <color indexed="81"/>
            <rFont val="Tahoma"/>
            <family val="2"/>
          </rPr>
          <t>150,000&gt; 200,000</t>
        </r>
      </text>
    </comment>
    <comment ref="F106" authorId="0" shapeId="0" xr:uid="{C5D58999-7E25-46D4-AAD6-8F897FACAAA1}">
      <text>
        <r>
          <rPr>
            <sz val="11"/>
            <color theme="1"/>
            <rFont val="맑은 고딕"/>
            <family val="2"/>
            <scheme val="minor"/>
          </rPr>
          <t>HP:
1월14일 180,000 &gt; 23
0,000</t>
        </r>
      </text>
    </comment>
    <comment ref="B107" authorId="0" shapeId="0" xr:uid="{38938265-1502-44D5-921D-310F2F8A21D7}">
      <text>
        <r>
          <rPr>
            <sz val="11"/>
            <color theme="1"/>
            <rFont val="맑은 고딕"/>
            <family val="2"/>
            <scheme val="minor"/>
          </rPr>
          <t>HP:
1월 14일 120,000 &gt; 160,000</t>
        </r>
      </text>
    </comment>
    <comment ref="D107" authorId="0" shapeId="0" xr:uid="{8E5EE1ED-76DE-40C8-A6AC-C580E5B70D6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180,000</t>
        </r>
      </text>
    </comment>
    <comment ref="E107" authorId="0" shapeId="0" xr:uid="{E93DBB03-5F82-4E83-80DD-7704D5144C2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 xml:space="preserve">일
</t>
        </r>
        <r>
          <rPr>
            <sz val="9"/>
            <color indexed="81"/>
            <rFont val="Tahoma"/>
            <family val="2"/>
          </rPr>
          <t>150,000&gt; 200,000</t>
        </r>
      </text>
    </comment>
    <comment ref="F107" authorId="0" shapeId="0" xr:uid="{0F74626B-A14C-467B-8BE5-E2B7A5A9ECBE}">
      <text>
        <r>
          <rPr>
            <sz val="11"/>
            <color theme="1"/>
            <rFont val="맑은 고딕"/>
            <family val="2"/>
            <scheme val="minor"/>
          </rPr>
          <t>HP:
1월14일 180,000 &gt; 23
0,000</t>
        </r>
      </text>
    </comment>
    <comment ref="B108" authorId="0" shapeId="0" xr:uid="{4390DFCA-AFEB-4EFB-B024-F13F57ECD1FD}">
      <text>
        <r>
          <rPr>
            <sz val="11"/>
            <color theme="1"/>
            <rFont val="맑은 고딕"/>
            <family val="2"/>
            <scheme val="minor"/>
          </rPr>
          <t>HP:
1월 14일 120,000 &gt; 160,000</t>
        </r>
      </text>
    </comment>
    <comment ref="C108" authorId="0" shapeId="0" xr:uid="{8595711E-4540-4DC8-9489-E8910E48570D}">
      <text>
        <r>
          <rPr>
            <sz val="11"/>
            <color theme="1"/>
            <rFont val="맑은 고딕"/>
            <family val="2"/>
            <scheme val="minor"/>
          </rPr>
          <t>HP:
1월 14일 150,000 &gt; 170,000</t>
        </r>
      </text>
    </comment>
    <comment ref="D108" authorId="0" shapeId="0" xr:uid="{9A25F65D-64F8-405B-B637-D93A9B23C5F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180,000</t>
        </r>
      </text>
    </comment>
    <comment ref="E108" authorId="0" shapeId="0" xr:uid="{3F875853-5130-4262-8AA8-AF5DFA3EA36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 xml:space="preserve">일
</t>
        </r>
        <r>
          <rPr>
            <sz val="9"/>
            <color indexed="81"/>
            <rFont val="Tahoma"/>
            <family val="2"/>
          </rPr>
          <t>150,000&gt; 200,000</t>
        </r>
      </text>
    </comment>
    <comment ref="F108" authorId="0" shapeId="0" xr:uid="{0C3F46C7-BE05-4D48-942E-259E5A9D0A14}">
      <text>
        <r>
          <rPr>
            <sz val="11"/>
            <color theme="1"/>
            <rFont val="맑은 고딕"/>
            <family val="2"/>
            <scheme val="minor"/>
          </rPr>
          <t>HP:
1월14일 170,000 &gt; 23
0,000</t>
        </r>
      </text>
    </comment>
    <comment ref="B109" authorId="0" shapeId="0" xr:uid="{C485E730-168C-4FB6-8ACA-32163E062AC8}">
      <text>
        <r>
          <rPr>
            <sz val="11"/>
            <color theme="1"/>
            <rFont val="맑은 고딕"/>
            <family val="2"/>
            <scheme val="minor"/>
          </rPr>
          <t>HP:
1월 14일 120,000 &gt; 160,000</t>
        </r>
      </text>
    </comment>
    <comment ref="C109" authorId="0" shapeId="0" xr:uid="{8AC02760-14B8-49B8-8D21-24981FA7CD93}">
      <text>
        <r>
          <rPr>
            <sz val="11"/>
            <color theme="1"/>
            <rFont val="맑은 고딕"/>
            <family val="2"/>
            <scheme val="minor"/>
          </rPr>
          <t>HP:
1월 14일 150,000 &gt; 170,000</t>
        </r>
      </text>
    </comment>
    <comment ref="D109" authorId="0" shapeId="0" xr:uid="{CC7EEAC2-C96C-4573-9272-E59271F5D4F0}">
      <text>
        <r>
          <rPr>
            <sz val="11"/>
            <color theme="1"/>
            <rFont val="맑은 고딕"/>
            <family val="2"/>
            <scheme val="minor"/>
          </rPr>
          <t>HP:
1월 14일 160,000 &gt; 180,000</t>
        </r>
      </text>
    </comment>
    <comment ref="E109" authorId="0" shapeId="0" xr:uid="{BFF1B62E-5EAD-4340-94C6-11927EF979C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 xml:space="preserve">일
</t>
        </r>
        <r>
          <rPr>
            <sz val="9"/>
            <color indexed="81"/>
            <rFont val="Tahoma"/>
            <family val="2"/>
          </rPr>
          <t>150,000&gt; 200,000</t>
        </r>
      </text>
    </comment>
    <comment ref="F109" authorId="0" shapeId="0" xr:uid="{39BD025F-FA0C-4D1A-B81C-73CFAAD99AE8}">
      <text>
        <r>
          <rPr>
            <sz val="11"/>
            <color theme="1"/>
            <rFont val="맑은 고딕"/>
            <family val="2"/>
            <scheme val="minor"/>
          </rPr>
          <t>HP:
1월14일 170,000 &gt; 23
0,000</t>
        </r>
      </text>
    </comment>
    <comment ref="B110" authorId="0" shapeId="0" xr:uid="{08261D79-1C92-46FA-BF8C-65F8CE07A997}">
      <text>
        <r>
          <rPr>
            <sz val="11"/>
            <color theme="1"/>
            <rFont val="맑은 고딕"/>
            <family val="2"/>
            <scheme val="minor"/>
          </rPr>
          <t>HP:
1월 14일 120,000 &gt; 160,000</t>
        </r>
      </text>
    </comment>
    <comment ref="C110" authorId="0" shapeId="0" xr:uid="{7617DF0B-26A2-4DDF-84B2-FCF1E833D633}">
      <text>
        <r>
          <rPr>
            <sz val="11"/>
            <color theme="1"/>
            <rFont val="맑은 고딕"/>
            <family val="2"/>
            <scheme val="minor"/>
          </rPr>
          <t>HP:
1월 14일 150,000 &gt; 170,000</t>
        </r>
      </text>
    </comment>
    <comment ref="E110" authorId="0" shapeId="0" xr:uid="{D3CDFE0D-55E5-4931-8DD9-6B773C87459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 xml:space="preserve">일
</t>
        </r>
        <r>
          <rPr>
            <sz val="9"/>
            <color indexed="81"/>
            <rFont val="Tahoma"/>
            <family val="2"/>
          </rPr>
          <t>160,000&gt; 200,000</t>
        </r>
      </text>
    </comment>
    <comment ref="F110" authorId="0" shapeId="0" xr:uid="{FC66F5FD-6E55-4C74-9D99-AD9AF7D5EFE5}">
      <text>
        <r>
          <rPr>
            <sz val="11"/>
            <color theme="1"/>
            <rFont val="맑은 고딕"/>
            <family val="2"/>
            <scheme val="minor"/>
          </rPr>
          <t>HP:
1월14일 170,000 &gt; 23
0,000</t>
        </r>
      </text>
    </comment>
    <comment ref="D111" authorId="0" shapeId="0" xr:uid="{F56A8742-2580-4724-843D-1BA65E7C831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1/123 20&gt;24</t>
        </r>
      </text>
    </comment>
    <comment ref="E111" authorId="0" shapeId="0" xr:uid="{9DB7A357-9319-4EBA-83B7-3D19AE4579B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21 &gt; 25</t>
        </r>
      </text>
    </comment>
    <comment ref="F111" authorId="0" shapeId="0" xr:uid="{8BEDF578-995B-4F68-B65B-879BCB5C43B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1/23 22&gt;30</t>
        </r>
      </text>
    </comment>
    <comment ref="D112" authorId="0" shapeId="0" xr:uid="{5E3E3CEC-3F9E-42C7-92DB-E0C9C2C75F3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210,000 &gt; 240,000</t>
        </r>
      </text>
    </comment>
    <comment ref="E112" authorId="0" shapeId="0" xr:uid="{0300C02E-AECA-4608-93AA-C717C0B3168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200,000 &gt; 25
0,000
1/23 25&gt;26</t>
        </r>
      </text>
    </comment>
    <comment ref="F112" authorId="0" shapeId="0" xr:uid="{6BAED796-C6A2-4A96-B5F5-85A93B8155B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230,000 &gt; 30
0,000</t>
        </r>
      </text>
    </comment>
    <comment ref="D113" authorId="0" shapeId="0" xr:uid="{68216633-3EBB-4961-8038-5931BD46C79A}">
      <text>
        <r>
          <rPr>
            <sz val="11"/>
            <color theme="1"/>
            <rFont val="맑은 고딕"/>
            <family val="2"/>
            <scheme val="minor"/>
          </rPr>
          <t>HP:
1월 14일 160,000 &gt; 180,000</t>
        </r>
      </text>
    </comment>
    <comment ref="F113" authorId="0" shapeId="0" xr:uid="{F1E558BD-C517-4FEB-8576-2007E594D906}">
      <text>
        <r>
          <rPr>
            <sz val="11"/>
            <color theme="1"/>
            <rFont val="맑은 고딕"/>
            <family val="2"/>
            <scheme val="minor"/>
          </rPr>
          <t>HP:
1월14일 160,000 &gt; 23
0,000</t>
        </r>
      </text>
    </comment>
    <comment ref="B114" authorId="0" shapeId="0" xr:uid="{F056F05B-1E7B-4885-8066-5921A593EAD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</t>
        </r>
      </text>
    </comment>
    <comment ref="C114" authorId="0" shapeId="0" xr:uid="{2D8902F6-4017-4908-ADFA-F37BBBD7BF76}">
      <text>
        <r>
          <rPr>
            <sz val="11"/>
            <color theme="1"/>
            <rFont val="맑은 고딕"/>
            <family val="2"/>
            <scheme val="minor"/>
          </rPr>
          <t>HP:
1월 14일 150,000 &gt; 160,000</t>
        </r>
      </text>
    </comment>
    <comment ref="D114" authorId="0" shapeId="0" xr:uid="{88001635-0E50-4BA2-ACA8-E841CF93A9F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180,000</t>
        </r>
      </text>
    </comment>
    <comment ref="E114" authorId="0" shapeId="0" xr:uid="{EBC5B2AF-5787-4CDC-AC2F-2E55F8E7DC4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180,000 &gt; 200,000</t>
        </r>
      </text>
    </comment>
    <comment ref="F114" authorId="0" shapeId="0" xr:uid="{DCBA8515-DA90-4750-8B60-36188A5E9DDE}">
      <text>
        <r>
          <rPr>
            <sz val="11"/>
            <color theme="1"/>
            <rFont val="맑은 고딕"/>
            <family val="2"/>
            <scheme val="minor"/>
          </rPr>
          <t>HP:
1월14일 160,000 &gt; 23
0,000</t>
        </r>
      </text>
    </comment>
    <comment ref="B115" authorId="0" shapeId="0" xr:uid="{8746D16E-8B90-4C81-90CD-6C3A8DD84B5C}">
      <text>
        <r>
          <rPr>
            <sz val="11"/>
            <color theme="1"/>
            <rFont val="맑은 고딕"/>
            <family val="2"/>
            <scheme val="minor"/>
          </rPr>
          <t>HP:
1월 14일 120,000 &gt; 140,000</t>
        </r>
      </text>
    </comment>
    <comment ref="C115" authorId="0" shapeId="0" xr:uid="{A50DF44D-E745-41D3-8DCC-8E1E47B19E6D}">
      <text>
        <r>
          <rPr>
            <sz val="11"/>
            <color theme="1"/>
            <rFont val="맑은 고딕"/>
            <family val="2"/>
            <scheme val="minor"/>
          </rPr>
          <t>HP:
1월 14일 150,000 &gt; 160,000</t>
        </r>
      </text>
    </comment>
    <comment ref="D115" authorId="0" shapeId="0" xr:uid="{B34A83B8-8D6B-434F-BAA5-F1F9B2619EB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180,000</t>
        </r>
      </text>
    </comment>
    <comment ref="E115" authorId="0" shapeId="0" xr:uid="{58169823-B1B8-4435-9052-8712EAA1B53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180,000 &gt; 200,000</t>
        </r>
      </text>
    </comment>
    <comment ref="F115" authorId="0" shapeId="0" xr:uid="{CC2FD057-CD90-44B4-A02F-1BCBA6EB0151}">
      <text>
        <r>
          <rPr>
            <sz val="11"/>
            <color theme="1"/>
            <rFont val="맑은 고딕"/>
            <family val="2"/>
            <scheme val="minor"/>
          </rPr>
          <t>HP:
1월14일 160,000 &gt; 23
0,000</t>
        </r>
      </text>
    </comment>
    <comment ref="B116" authorId="0" shapeId="0" xr:uid="{65848209-0739-4FE0-B139-CDF39B900543}">
      <text>
        <r>
          <rPr>
            <sz val="11"/>
            <color theme="1"/>
            <rFont val="맑은 고딕"/>
            <family val="2"/>
            <scheme val="minor"/>
          </rPr>
          <t>HP:
1월 14일 120,000 &gt; 140,000</t>
        </r>
      </text>
    </comment>
    <comment ref="C116" authorId="0" shapeId="0" xr:uid="{314A119B-E162-43B4-B710-5D062755084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160,000</t>
        </r>
      </text>
    </comment>
    <comment ref="D116" authorId="0" shapeId="0" xr:uid="{822CD411-2BFB-4F46-B15E-E362A7706A1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180,000</t>
        </r>
      </text>
    </comment>
    <comment ref="E116" authorId="0" shapeId="0" xr:uid="{3D11AA4C-6E66-48C8-8BED-B76C7748023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180,000 &gt; 200,000</t>
        </r>
      </text>
    </comment>
    <comment ref="F116" authorId="0" shapeId="0" xr:uid="{5A635683-F099-49BF-A4B3-99872E584B6F}">
      <text>
        <r>
          <rPr>
            <sz val="11"/>
            <color theme="1"/>
            <rFont val="맑은 고딕"/>
            <family val="2"/>
            <scheme val="minor"/>
          </rPr>
          <t>HP:
1월14일 160,000 &gt; 23
0,000</t>
        </r>
      </text>
    </comment>
    <comment ref="B117" authorId="0" shapeId="0" xr:uid="{842600C3-57DC-459A-A490-98DF4D90F68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</t>
        </r>
      </text>
    </comment>
    <comment ref="C117" authorId="0" shapeId="0" xr:uid="{D46B36C2-CB4C-43EC-BFAD-1E5BFBE03DEE}">
      <text>
        <r>
          <rPr>
            <sz val="11"/>
            <color theme="1"/>
            <rFont val="맑은 고딕"/>
            <family val="2"/>
            <scheme val="minor"/>
          </rPr>
          <t>HP:
1월 14일 150,000 &gt; 160,000</t>
        </r>
      </text>
    </comment>
    <comment ref="D117" authorId="0" shapeId="0" xr:uid="{BF79A08B-AEE7-4C54-BB64-6D7723FAE0A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180,000</t>
        </r>
      </text>
    </comment>
    <comment ref="F117" authorId="0" shapeId="0" xr:uid="{4AFE9C3D-D1A8-4C66-A3B5-CDEF2AFD3D6F}">
      <text>
        <r>
          <rPr>
            <sz val="11"/>
            <color theme="1"/>
            <rFont val="맑은 고딕"/>
            <family val="2"/>
            <scheme val="minor"/>
          </rPr>
          <t>HP:
1월14일 160,000 &gt; 23
0,000</t>
        </r>
      </text>
    </comment>
    <comment ref="B118" authorId="0" shapeId="0" xr:uid="{D9A15BE8-963E-425E-9BB2-0A905157C2D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170,000
1/23 15&gt;18</t>
        </r>
      </text>
    </comment>
    <comment ref="C118" authorId="0" shapeId="0" xr:uid="{65A58DF4-C8B3-48E5-8245-F4F4C0E22BE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190,000</t>
        </r>
      </text>
    </comment>
    <comment ref="D118" authorId="0" shapeId="0" xr:uid="{F6ADEEF3-95C1-45BB-9856-FF5C4F9CFEA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180,000 &gt; 240,000</t>
        </r>
      </text>
    </comment>
    <comment ref="F118" authorId="0" shapeId="0" xr:uid="{7D6A4260-1798-4310-8F73-CE41A6A0D17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200,000 &gt; 30
0,000</t>
        </r>
      </text>
    </comment>
    <comment ref="D119" authorId="0" shapeId="0" xr:uid="{E263C923-67A4-47C9-A97D-1942E10E219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210,000 &gt; 240,000</t>
        </r>
      </text>
    </comment>
    <comment ref="F119" authorId="0" shapeId="0" xr:uid="{1646A7AE-C564-4B09-B85A-1218529A18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220,000 &gt; 30
0,000</t>
        </r>
      </text>
    </comment>
    <comment ref="B120" authorId="0" shapeId="0" xr:uid="{0F7F21AB-2449-45D4-8D76-76B34383090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</t>
        </r>
      </text>
    </comment>
    <comment ref="D120" authorId="0" shapeId="0" xr:uid="{8FBF86AB-98BB-444D-9E45-31244909AA1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170,000 &gt; 180,000</t>
        </r>
      </text>
    </comment>
    <comment ref="E120" authorId="0" shapeId="0" xr:uid="{2894A7A4-608B-44BD-89D0-7F4D1956B61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180,000 &gt; 200,000</t>
        </r>
      </text>
    </comment>
    <comment ref="F120" authorId="0" shapeId="0" xr:uid="{9B179041-5798-4593-933F-E10A11F1F1C1}">
      <text>
        <r>
          <rPr>
            <sz val="11"/>
            <color theme="1"/>
            <rFont val="맑은 고딕"/>
            <family val="2"/>
            <scheme val="minor"/>
          </rPr>
          <t>HP:
1월14일 210,000 &gt; 23
0,000</t>
        </r>
      </text>
    </comment>
    <comment ref="B121" authorId="0" shapeId="0" xr:uid="{817DD8AB-31CE-44BA-91A4-6D32EB0A3AD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</t>
        </r>
      </text>
    </comment>
    <comment ref="D121" authorId="0" shapeId="0" xr:uid="{10DA532F-D033-4DF6-A51C-25B266B7739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170,000 &gt; 180,000</t>
        </r>
      </text>
    </comment>
    <comment ref="E121" authorId="0" shapeId="0" xr:uid="{24D6C821-6628-43A0-BA55-1FBE6B058CE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180,000 &gt; 200,000</t>
        </r>
      </text>
    </comment>
    <comment ref="F121" authorId="0" shapeId="0" xr:uid="{DEC98FDC-D420-4E58-8289-E8B09B9A10E4}">
      <text>
        <r>
          <rPr>
            <sz val="11"/>
            <color theme="1"/>
            <rFont val="맑은 고딕"/>
            <family val="2"/>
            <scheme val="minor"/>
          </rPr>
          <t>HP:
1월14일 210,000 &gt; 23
0,000</t>
        </r>
      </text>
    </comment>
    <comment ref="D122" authorId="0" shapeId="0" xr:uid="{462C85FD-3E6E-4DAF-8B13-8C182C4B361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170,000 &gt; 180,000</t>
        </r>
      </text>
    </comment>
    <comment ref="E122" authorId="0" shapeId="0" xr:uid="{4951E6F8-2AF2-418A-AAFF-374C6C575B9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180,000 &gt; 200,000</t>
        </r>
      </text>
    </comment>
    <comment ref="F122" authorId="0" shapeId="0" xr:uid="{8BCEDC63-D6B2-4249-A0B9-E82B5485DC06}">
      <text>
        <r>
          <rPr>
            <sz val="11"/>
            <color theme="1"/>
            <rFont val="맑은 고딕"/>
            <family val="2"/>
            <scheme val="minor"/>
          </rPr>
          <t>HP:
1월14일 210,000 &gt; 23
0,000</t>
        </r>
      </text>
    </comment>
    <comment ref="B123" authorId="0" shapeId="0" xr:uid="{2758E791-762C-4D52-9EF7-C4F1655102E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</t>
        </r>
      </text>
    </comment>
    <comment ref="D123" authorId="0" shapeId="0" xr:uid="{6C5DA6A0-E7FF-4036-8883-D321C174F64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170,000 &gt; 180,000</t>
        </r>
      </text>
    </comment>
    <comment ref="E123" authorId="0" shapeId="0" xr:uid="{D8FCB252-9CD0-40BA-A388-3747889CBA9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180,000 &gt; 200,000</t>
        </r>
      </text>
    </comment>
    <comment ref="F123" authorId="0" shapeId="0" xr:uid="{99A4E86A-FB36-4D9D-AC39-4AED2F838264}">
      <text>
        <r>
          <rPr>
            <sz val="11"/>
            <color theme="1"/>
            <rFont val="맑은 고딕"/>
            <family val="2"/>
            <scheme val="minor"/>
          </rPr>
          <t>HP:
1월14일 210,000 &gt; 23
0,000</t>
        </r>
      </text>
    </comment>
    <comment ref="D124" authorId="0" shapeId="0" xr:uid="{A23013C3-EF7C-4ECB-A313-FBADE0BCF96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170,000 &gt; 180,000</t>
        </r>
      </text>
    </comment>
    <comment ref="E124" authorId="0" shapeId="0" xr:uid="{5481901A-63ED-404F-B621-E0A0BBB8197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180,000 &gt; 200,000</t>
        </r>
      </text>
    </comment>
    <comment ref="F124" authorId="0" shapeId="0" xr:uid="{DBC0D826-2DBD-48B5-A84D-67DE0A19BE9D}">
      <text>
        <r>
          <rPr>
            <sz val="11"/>
            <color theme="1"/>
            <rFont val="맑은 고딕"/>
            <family val="2"/>
            <scheme val="minor"/>
          </rPr>
          <t>HP:
1월14일 210,000 &gt; 23
0,000</t>
        </r>
      </text>
    </comment>
    <comment ref="B125" authorId="0" shapeId="0" xr:uid="{46A873D3-53EB-4B6B-9F69-5DE10E8072B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170,000</t>
        </r>
      </text>
    </comment>
    <comment ref="D125" authorId="0" shapeId="0" xr:uid="{01BD9AE4-C658-43C3-8E4B-95FB04B48D9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190,000 &gt; 240,000</t>
        </r>
      </text>
    </comment>
    <comment ref="E125" authorId="0" shapeId="0" xr:uid="{F34BB695-5FD1-4C32-A7CF-D470A093994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200,000 &gt; 25
0,000</t>
        </r>
      </text>
    </comment>
    <comment ref="F125" authorId="0" shapeId="0" xr:uid="{82A59F16-D490-4B1A-B98F-75965C022F3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220,000 &gt; 30
0,000</t>
        </r>
      </text>
    </comment>
    <comment ref="D126" authorId="0" shapeId="0" xr:uid="{BA3806CF-7803-4589-99B5-33923B2A017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190,000 &gt; 240,000</t>
        </r>
      </text>
    </comment>
    <comment ref="E126" authorId="0" shapeId="0" xr:uid="{A0F7A255-ED17-4750-80CF-EAFE2A76E64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200,000 &gt; 25
0,000</t>
        </r>
      </text>
    </comment>
    <comment ref="F126" authorId="0" shapeId="0" xr:uid="{430405CC-DEAE-4728-95C2-AAE93E8048F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220,000 &gt; 30
0,000</t>
        </r>
      </text>
    </comment>
    <comment ref="D127" authorId="0" shapeId="0" xr:uid="{91BD1BAC-E32A-432B-BC8F-147356163AF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</t>
        </r>
      </text>
    </comment>
    <comment ref="E127" authorId="0" shapeId="0" xr:uid="{21E47484-2E3E-457F-A3BE-B13271F3600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</t>
        </r>
      </text>
    </comment>
    <comment ref="F127" authorId="0" shapeId="0" xr:uid="{F265F066-4263-4B12-90E4-8F27AF19981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170,000 &gt; 150,000</t>
        </r>
      </text>
    </comment>
    <comment ref="B128" authorId="0" shapeId="0" xr:uid="{FA8B3AAC-4118-4638-88A3-40A21279A47C}">
      <text>
        <r>
          <rPr>
            <sz val="11"/>
            <color theme="1"/>
            <rFont val="맑은 고딕"/>
            <family val="2"/>
            <scheme val="minor"/>
          </rPr>
          <t>HP:
1월 14일 120,000 &gt; 140,000</t>
        </r>
      </text>
    </comment>
    <comment ref="C128" authorId="0" shapeId="0" xr:uid="{48595179-DAD3-4278-A1CA-725822B70A5D}">
      <text>
        <r>
          <rPr>
            <sz val="11"/>
            <color theme="1"/>
            <rFont val="맑은 고딕"/>
            <family val="2"/>
            <scheme val="minor"/>
          </rPr>
          <t>HP:
1월 14일 130,000 &gt; 160,000</t>
        </r>
      </text>
    </comment>
    <comment ref="D128" authorId="0" shapeId="0" xr:uid="{AC248FDB-6C2D-4AD5-8F89-E84DF4630B9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180,000</t>
        </r>
      </text>
    </comment>
    <comment ref="E128" authorId="0" shapeId="0" xr:uid="{547E214F-6913-424D-BA0B-3FB1E4522B4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200,000</t>
        </r>
      </text>
    </comment>
    <comment ref="F128" authorId="0" shapeId="0" xr:uid="{F886087A-5C76-4974-BB25-7808232CE6F8}">
      <text>
        <r>
          <rPr>
            <sz val="11"/>
            <color theme="1"/>
            <rFont val="맑은 고딕"/>
            <family val="2"/>
            <scheme val="minor"/>
          </rPr>
          <t>HP:
1월14일 160,000 &gt; 23
0,000</t>
        </r>
      </text>
    </comment>
    <comment ref="B129" authorId="0" shapeId="0" xr:uid="{4B67F1D3-5A5C-41A2-81B6-78C292B8416A}">
      <text>
        <r>
          <rPr>
            <sz val="11"/>
            <color theme="1"/>
            <rFont val="맑은 고딕"/>
            <family val="2"/>
            <scheme val="minor"/>
          </rPr>
          <t>HP:
1월 14일 120,000 &gt; 140,000</t>
        </r>
      </text>
    </comment>
    <comment ref="C129" authorId="0" shapeId="0" xr:uid="{3FD5ED08-F70D-4A6C-94D8-3276A8E5B196}">
      <text>
        <r>
          <rPr>
            <sz val="11"/>
            <color theme="1"/>
            <rFont val="맑은 고딕"/>
            <family val="2"/>
            <scheme val="minor"/>
          </rPr>
          <t>HP:
1월 14일 130,000 &gt; 160,000</t>
        </r>
      </text>
    </comment>
    <comment ref="D129" authorId="0" shapeId="0" xr:uid="{F206BA2F-C464-41EE-A344-EF5FDC1D6F7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180,000</t>
        </r>
      </text>
    </comment>
    <comment ref="E129" authorId="0" shapeId="0" xr:uid="{ECD9AF18-E1E6-411C-B0EC-F0EC8344B9E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200,000
1/15 18&gt;21</t>
        </r>
      </text>
    </comment>
    <comment ref="F129" authorId="0" shapeId="0" xr:uid="{78E6FBCD-225B-4138-83CB-3AFE2DDE0A0C}">
      <text>
        <r>
          <rPr>
            <sz val="11"/>
            <color theme="1"/>
            <rFont val="맑은 고딕"/>
            <family val="2"/>
            <scheme val="minor"/>
          </rPr>
          <t>HP:
1월14일 160,000 &gt; 23
0,000</t>
        </r>
      </text>
    </comment>
    <comment ref="B130" authorId="0" shapeId="0" xr:uid="{250D976D-E07A-4D3F-9B10-3DD2BAD4B508}">
      <text>
        <r>
          <rPr>
            <sz val="11"/>
            <color theme="1"/>
            <rFont val="맑은 고딕"/>
            <family val="2"/>
            <scheme val="minor"/>
          </rPr>
          <t>HP:
1월 14일 120,000 &gt; 140,000</t>
        </r>
      </text>
    </comment>
    <comment ref="C130" authorId="0" shapeId="0" xr:uid="{7B759017-AEF8-4B2E-9E14-1A029F32B0FE}">
      <text>
        <r>
          <rPr>
            <sz val="11"/>
            <color theme="1"/>
            <rFont val="맑은 고딕"/>
            <family val="2"/>
            <scheme val="minor"/>
          </rPr>
          <t>HP:
1월 14일 130,000 &gt; 160,000</t>
        </r>
      </text>
    </comment>
    <comment ref="D130" authorId="0" shapeId="0" xr:uid="{D0B84EDA-C0F1-4DB9-99E1-7BA414ABEF9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180,000</t>
        </r>
      </text>
    </comment>
    <comment ref="E130" authorId="0" shapeId="0" xr:uid="{B111C871-0C38-43A1-87B8-0F5E346CDC2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200,000
1/15 18&gt;21</t>
        </r>
      </text>
    </comment>
    <comment ref="F130" authorId="0" shapeId="0" xr:uid="{F0ABDB85-1FF8-4C76-99D8-1B95E81CE3E6}">
      <text>
        <r>
          <rPr>
            <sz val="11"/>
            <color theme="1"/>
            <rFont val="맑은 고딕"/>
            <family val="2"/>
            <scheme val="minor"/>
          </rPr>
          <t>HP:
1월14일 160,000 &gt; 23
0,000</t>
        </r>
      </text>
    </comment>
    <comment ref="B131" authorId="0" shapeId="0" xr:uid="{C4C03D65-C35A-4C58-AA57-9E49E2589B8C}">
      <text>
        <r>
          <rPr>
            <sz val="11"/>
            <color theme="1"/>
            <rFont val="맑은 고딕"/>
            <family val="2"/>
            <scheme val="minor"/>
          </rPr>
          <t>HP:
1월 14일 120,000 &gt; 140,000</t>
        </r>
      </text>
    </comment>
    <comment ref="C131" authorId="0" shapeId="0" xr:uid="{8B6301B8-4113-4E21-A588-7DC6ACA94A27}">
      <text>
        <r>
          <rPr>
            <sz val="11"/>
            <color theme="1"/>
            <rFont val="맑은 고딕"/>
            <family val="2"/>
            <scheme val="minor"/>
          </rPr>
          <t>HP:
1월 14일 130,000 &gt; 160,000</t>
        </r>
      </text>
    </comment>
    <comment ref="D131" authorId="0" shapeId="0" xr:uid="{14135724-E78D-4A9B-92FC-FA6ECA0B9AA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180,000</t>
        </r>
      </text>
    </comment>
    <comment ref="E131" authorId="0" shapeId="0" xr:uid="{88474D53-1C3A-4A51-9A4B-9BA781C8825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200,000</t>
        </r>
      </text>
    </comment>
    <comment ref="F131" authorId="0" shapeId="0" xr:uid="{C7E2E998-ADD4-439D-B0EA-49CC0D1FC599}">
      <text>
        <r>
          <rPr>
            <sz val="11"/>
            <color theme="1"/>
            <rFont val="맑은 고딕"/>
            <family val="2"/>
            <scheme val="minor"/>
          </rPr>
          <t>HP:
1월14일 160,000 &gt; 23
0,000</t>
        </r>
      </text>
    </comment>
    <comment ref="B132" authorId="0" shapeId="0" xr:uid="{6681A516-C561-45E5-87CA-A4707BE8147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170,000</t>
        </r>
      </text>
    </comment>
    <comment ref="C132" authorId="0" shapeId="0" xr:uid="{BC02DD1C-A2D3-4ED1-B2F2-D4E9BC3E35D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190,000</t>
        </r>
      </text>
    </comment>
    <comment ref="D132" authorId="0" shapeId="0" xr:uid="{DDE9C7CD-22BA-452D-95CE-27C9692FED9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180,000 &gt; 240,000</t>
        </r>
      </text>
    </comment>
    <comment ref="E132" authorId="0" shapeId="0" xr:uid="{22380AFA-87DF-47B5-AF8F-8F8CE232A44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200,000 &gt; 250,000</t>
        </r>
      </text>
    </comment>
    <comment ref="F132" authorId="0" shapeId="0" xr:uid="{9486CB50-6ADA-434B-9FD8-BF2E09BAB2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210,000 &gt; 30
0,000</t>
        </r>
      </text>
    </comment>
    <comment ref="B133" authorId="0" shapeId="0" xr:uid="{88848C8F-D331-4D62-AAA4-5B790429FC3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170,000</t>
        </r>
      </text>
    </comment>
    <comment ref="D133" authorId="0" shapeId="0" xr:uid="{C0359836-7161-40A1-B45E-72801A534D6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200,000 &gt; 240,000</t>
        </r>
      </text>
    </comment>
    <comment ref="E133" authorId="0" shapeId="0" xr:uid="{5BF87FF8-17CC-484B-AB3C-41DB0564942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210,000 &gt; 250,000</t>
        </r>
      </text>
    </comment>
    <comment ref="F133" authorId="0" shapeId="0" xr:uid="{9A9EDA65-F320-4B82-9C0E-632DC847829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220,000 &gt; 30
0,000</t>
        </r>
      </text>
    </comment>
    <comment ref="B134" authorId="0" shapeId="0" xr:uid="{66DEABEA-5BB5-489B-9772-D02CC96AB843}">
      <text>
        <r>
          <rPr>
            <sz val="11"/>
            <color theme="1"/>
            <rFont val="맑은 고딕"/>
            <family val="2"/>
            <scheme val="minor"/>
          </rPr>
          <t>HP:
1월 14일 120,000 &gt; 140,000</t>
        </r>
      </text>
    </comment>
    <comment ref="C134" authorId="0" shapeId="0" xr:uid="{CB3BFE71-CF95-4468-AF6C-E6BB8EAB5B91}">
      <text>
        <r>
          <rPr>
            <sz val="11"/>
            <color theme="1"/>
            <rFont val="맑은 고딕"/>
            <family val="2"/>
            <scheme val="minor"/>
          </rPr>
          <t>HP:
1월 14일 130,000 &gt; 160,000</t>
        </r>
      </text>
    </comment>
    <comment ref="D134" authorId="0" shapeId="0" xr:uid="{2221A03C-3676-4115-B2DC-C74715779B8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180,000</t>
        </r>
      </text>
    </comment>
    <comment ref="E134" authorId="0" shapeId="0" xr:uid="{8DAB08AB-E7EB-4415-910A-9FD33664FB6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200,000</t>
        </r>
      </text>
    </comment>
    <comment ref="F134" authorId="0" shapeId="0" xr:uid="{9773CF8E-6179-43A3-84D0-4EB622C42544}">
      <text>
        <r>
          <rPr>
            <sz val="11"/>
            <color theme="1"/>
            <rFont val="맑은 고딕"/>
            <family val="2"/>
            <scheme val="minor"/>
          </rPr>
          <t>HP:
1월14일 160,000 &gt; 23
0,000</t>
        </r>
      </text>
    </comment>
    <comment ref="B135" authorId="0" shapeId="0" xr:uid="{09BE3034-B375-425A-A45F-3D74E6636401}">
      <text>
        <r>
          <rPr>
            <sz val="11"/>
            <color theme="1"/>
            <rFont val="맑은 고딕"/>
            <family val="2"/>
            <scheme val="minor"/>
          </rPr>
          <t>HP:
1월 14일 120,000 &gt; 140,000</t>
        </r>
      </text>
    </comment>
    <comment ref="C135" authorId="0" shapeId="0" xr:uid="{906BCCED-E40F-463B-B3B4-36758E752500}">
      <text>
        <r>
          <rPr>
            <sz val="11"/>
            <color theme="1"/>
            <rFont val="맑은 고딕"/>
            <family val="2"/>
            <scheme val="minor"/>
          </rPr>
          <t>HP:
1월 14일 130,000 &gt; 160,000</t>
        </r>
      </text>
    </comment>
    <comment ref="D135" authorId="0" shapeId="0" xr:uid="{E5D1622B-5B6F-4A1F-B398-AA920968DD1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180,000</t>
        </r>
      </text>
    </comment>
    <comment ref="E135" authorId="0" shapeId="0" xr:uid="{5D5CDA2A-36A1-409F-977F-96562D0B8A5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200,000</t>
        </r>
      </text>
    </comment>
    <comment ref="F135" authorId="0" shapeId="0" xr:uid="{679ED06D-DC2F-4FA0-BA05-8CCB4DF876B4}">
      <text>
        <r>
          <rPr>
            <sz val="11"/>
            <color theme="1"/>
            <rFont val="맑은 고딕"/>
            <family val="2"/>
            <scheme val="minor"/>
          </rPr>
          <t>HP:
1월14일 160,000 &gt; 23
0,000</t>
        </r>
      </text>
    </comment>
    <comment ref="B136" authorId="0" shapeId="0" xr:uid="{1D5C9F6F-92B4-43C8-AEC1-13612982873B}">
      <text>
        <r>
          <rPr>
            <sz val="11"/>
            <color theme="1"/>
            <rFont val="맑은 고딕"/>
            <family val="2"/>
            <scheme val="minor"/>
          </rPr>
          <t>HP:
1월 14일 120,000 &gt; 140,000</t>
        </r>
      </text>
    </comment>
    <comment ref="C136" authorId="0" shapeId="0" xr:uid="{0840C428-66AC-4EC8-85F8-F984F4FDA72B}">
      <text>
        <r>
          <rPr>
            <sz val="11"/>
            <color theme="1"/>
            <rFont val="맑은 고딕"/>
            <family val="2"/>
            <scheme val="minor"/>
          </rPr>
          <t>HP:
1월 14일 130,000 &gt; 160,000</t>
        </r>
      </text>
    </comment>
    <comment ref="D136" authorId="0" shapeId="0" xr:uid="{B5E8414C-F7A4-4478-BE62-E2C14842752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180,000</t>
        </r>
      </text>
    </comment>
    <comment ref="E136" authorId="0" shapeId="0" xr:uid="{87EBF028-B533-44F9-B8A4-D7A611DA2C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200,000</t>
        </r>
      </text>
    </comment>
    <comment ref="F136" authorId="0" shapeId="0" xr:uid="{F8221333-0FAB-43F0-80F3-357AC6F3F809}">
      <text>
        <r>
          <rPr>
            <sz val="11"/>
            <color theme="1"/>
            <rFont val="맑은 고딕"/>
            <family val="2"/>
            <scheme val="minor"/>
          </rPr>
          <t>HP:
1월14일 160,000 &gt; 23
0,000</t>
        </r>
      </text>
    </comment>
    <comment ref="B137" authorId="0" shapeId="0" xr:uid="{EED722C8-E8E9-432C-A5DD-667ABF7A4AD1}">
      <text>
        <r>
          <rPr>
            <sz val="11"/>
            <color theme="1"/>
            <rFont val="맑은 고딕"/>
            <family val="2"/>
            <scheme val="minor"/>
          </rPr>
          <t>HP:
1월 14일 120,000 &gt; 140,000</t>
        </r>
      </text>
    </comment>
    <comment ref="C137" authorId="0" shapeId="0" xr:uid="{C42FD361-2DB7-4292-BE18-BB251FC1CEC8}">
      <text>
        <r>
          <rPr>
            <sz val="11"/>
            <color theme="1"/>
            <rFont val="맑은 고딕"/>
            <family val="2"/>
            <scheme val="minor"/>
          </rPr>
          <t>HP:
1월 14일 130,000 &gt; 160,000</t>
        </r>
      </text>
    </comment>
    <comment ref="D137" authorId="0" shapeId="0" xr:uid="{DF4A9932-2F5F-4E58-81EF-069B5364398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180,000</t>
        </r>
      </text>
    </comment>
    <comment ref="E137" authorId="0" shapeId="0" xr:uid="{5A2F0D80-BC99-42A3-AE10-9CAD1E1489E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200,000</t>
        </r>
      </text>
    </comment>
    <comment ref="F137" authorId="0" shapeId="0" xr:uid="{EA94CB1A-A621-4F4A-9AD9-20D05C42711B}">
      <text>
        <r>
          <rPr>
            <sz val="11"/>
            <color theme="1"/>
            <rFont val="맑은 고딕"/>
            <family val="2"/>
            <scheme val="minor"/>
          </rPr>
          <t>HP:
1월14일 160,000 &gt; 23
0,000</t>
        </r>
      </text>
    </comment>
    <comment ref="B138" authorId="0" shapeId="0" xr:uid="{284A66A8-5604-4BF5-AAE9-A2FF2E6A3F7E}">
      <text>
        <r>
          <rPr>
            <sz val="11"/>
            <color theme="1"/>
            <rFont val="맑은 고딕"/>
            <family val="2"/>
            <scheme val="minor"/>
          </rPr>
          <t>HP:
1월 14일 120,000 &gt; 140,000</t>
        </r>
      </text>
    </comment>
    <comment ref="C138" authorId="0" shapeId="0" xr:uid="{331DDE9B-0C27-4CD1-8953-6D6625636E4E}">
      <text>
        <r>
          <rPr>
            <sz val="11"/>
            <color theme="1"/>
            <rFont val="맑은 고딕"/>
            <family val="2"/>
            <scheme val="minor"/>
          </rPr>
          <t>HP:
1월 14일 130,000 &gt; 160,000</t>
        </r>
      </text>
    </comment>
    <comment ref="D138" authorId="0" shapeId="0" xr:uid="{8B4B0F80-8DFA-452E-9DFF-F1AE77A47BC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180,000</t>
        </r>
      </text>
    </comment>
    <comment ref="E138" authorId="0" shapeId="0" xr:uid="{981E4EAD-B143-48FF-B441-DF25304A2D2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200,000</t>
        </r>
      </text>
    </comment>
    <comment ref="F138" authorId="0" shapeId="0" xr:uid="{AABB6689-36C8-4F7F-A62C-A052559CC4EE}">
      <text>
        <r>
          <rPr>
            <sz val="11"/>
            <color theme="1"/>
            <rFont val="맑은 고딕"/>
            <family val="2"/>
            <scheme val="minor"/>
          </rPr>
          <t>HP:
1월14일 160,000 &gt; 23
0,000</t>
        </r>
      </text>
    </comment>
    <comment ref="B139" authorId="0" shapeId="0" xr:uid="{98579536-5873-4248-89B1-7990ED846C7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170,000</t>
        </r>
      </text>
    </comment>
    <comment ref="D139" authorId="0" shapeId="0" xr:uid="{3F0572F1-3426-49CD-AE9C-F420CF7E1FE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220,000 &gt; 240,000</t>
        </r>
      </text>
    </comment>
    <comment ref="F139" authorId="0" shapeId="0" xr:uid="{6B9ECBD9-8E69-48FE-8C06-D23B7495439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250,000 &gt; 30
0,000</t>
        </r>
      </text>
    </comment>
    <comment ref="B140" authorId="0" shapeId="0" xr:uid="{F22CF9D4-3EDF-47DA-9A86-D5CE0777C14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170,000</t>
        </r>
      </text>
    </comment>
    <comment ref="D140" authorId="0" shapeId="0" xr:uid="{2BBBBA4F-F07D-4096-A6D3-D85E8A9FBCE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220,000 &gt; 240,000</t>
        </r>
      </text>
    </comment>
    <comment ref="F140" authorId="0" shapeId="0" xr:uid="{F9FAA510-445F-48F3-A706-3DB8F6496B9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250,000 &gt; 30
0,000</t>
        </r>
      </text>
    </comment>
    <comment ref="B141" authorId="0" shapeId="0" xr:uid="{3278A838-815A-4A3F-8F2D-EE4F7789CA1A}">
      <text>
        <r>
          <rPr>
            <sz val="11"/>
            <color theme="1"/>
            <rFont val="맑은 고딕"/>
            <family val="2"/>
            <scheme val="minor"/>
          </rPr>
          <t>HP:
1월 14일 130,000 &gt; 140,000</t>
        </r>
      </text>
    </comment>
    <comment ref="C141" authorId="0" shapeId="0" xr:uid="{A14121A9-F320-43B0-B97E-E3AD9B9DE99B}">
      <text>
        <r>
          <rPr>
            <sz val="11"/>
            <color theme="1"/>
            <rFont val="맑은 고딕"/>
            <family val="2"/>
            <scheme val="minor"/>
          </rPr>
          <t>HP:
1월 14일 130,000 &gt; 160,000</t>
        </r>
      </text>
    </comment>
    <comment ref="D141" authorId="0" shapeId="0" xr:uid="{59E7B7A0-C63E-4EB9-8D66-0BB589B4A6E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180,000</t>
        </r>
      </text>
    </comment>
    <comment ref="E141" authorId="0" shapeId="0" xr:uid="{70D66658-92F9-4A98-83BF-2E80A0A80D7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15&gt;21</t>
        </r>
      </text>
    </comment>
    <comment ref="F141" authorId="0" shapeId="0" xr:uid="{4CBA8961-EC00-4EC9-8EE0-D3BBE28E2837}">
      <text>
        <r>
          <rPr>
            <sz val="11"/>
            <color theme="1"/>
            <rFont val="맑은 고딕"/>
            <family val="2"/>
            <scheme val="minor"/>
          </rPr>
          <t>HP:
1월14일 160,000 &gt; 23
0,000</t>
        </r>
      </text>
    </comment>
    <comment ref="B142" authorId="0" shapeId="0" xr:uid="{F8247DE8-6DA9-414F-BBD5-2F06A4486621}">
      <text>
        <r>
          <rPr>
            <sz val="11"/>
            <color theme="1"/>
            <rFont val="맑은 고딕"/>
            <family val="2"/>
            <scheme val="minor"/>
          </rPr>
          <t>HP:
1월 14일 120,000 &gt; 140,000</t>
        </r>
      </text>
    </comment>
    <comment ref="C142" authorId="0" shapeId="0" xr:uid="{A9515E29-9742-4822-9545-F46B55F60BD7}">
      <text>
        <r>
          <rPr>
            <sz val="11"/>
            <color theme="1"/>
            <rFont val="맑은 고딕"/>
            <family val="2"/>
            <scheme val="minor"/>
          </rPr>
          <t>HP:
1월 14일 130,000 &gt; 160,000</t>
        </r>
      </text>
    </comment>
    <comment ref="D142" authorId="0" shapeId="0" xr:uid="{0F421168-AED7-457C-8072-5DE025FC243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180,000</t>
        </r>
      </text>
    </comment>
    <comment ref="E142" authorId="0" shapeId="0" xr:uid="{AE8F5EC5-525B-49AE-B163-1AA4A47817C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1/15 15&gt;21</t>
        </r>
      </text>
    </comment>
    <comment ref="F142" authorId="0" shapeId="0" xr:uid="{68CCC359-E6A2-4C30-99EC-094749608649}">
      <text>
        <r>
          <rPr>
            <sz val="11"/>
            <color theme="1"/>
            <rFont val="맑은 고딕"/>
            <family val="2"/>
            <scheme val="minor"/>
          </rPr>
          <t>HP:
1월14일 160,000 &gt; 23
0,000</t>
        </r>
      </text>
    </comment>
    <comment ref="B143" authorId="0" shapeId="0" xr:uid="{46408DF7-0EF3-4B3F-A1BE-5FFF63AF794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12&gt;14</t>
        </r>
      </text>
    </comment>
    <comment ref="C143" authorId="0" shapeId="0" xr:uid="{9D4CF719-D03C-41AC-B2D1-15E16EDFE6F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13&gt;16</t>
        </r>
      </text>
    </comment>
    <comment ref="D143" authorId="0" shapeId="0" xr:uid="{54B71FA2-30B3-42E3-AEB0-E5FD5E7C51F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143" authorId="0" shapeId="0" xr:uid="{3D03CBDB-B75F-411A-ABAF-71F7B7F67A1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1/15 15&gt;21</t>
        </r>
      </text>
    </comment>
    <comment ref="F143" authorId="0" shapeId="0" xr:uid="{33DFCD39-9094-412A-8266-1D8B3793055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170,000 &gt; 150,000
1/15 17&gt;24</t>
        </r>
      </text>
    </comment>
    <comment ref="B144" authorId="0" shapeId="0" xr:uid="{66959244-98F3-4A70-A372-70AC8FD8E12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12&gt;14</t>
        </r>
      </text>
    </comment>
    <comment ref="C144" authorId="0" shapeId="0" xr:uid="{17303FE7-B83B-4AF3-86CF-C5D2D8A5210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13&gt;16</t>
        </r>
      </text>
    </comment>
    <comment ref="D144" authorId="0" shapeId="0" xr:uid="{0D3053A9-7805-48AC-AF7C-F9AE7A41887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144" authorId="0" shapeId="0" xr:uid="{B2FC03C7-B581-4ACA-8435-E3C200C017D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1/15 15&gt;21</t>
        </r>
      </text>
    </comment>
    <comment ref="F144" authorId="0" shapeId="0" xr:uid="{87751046-066D-4ECC-81D9-7F65DA23732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170,000 &gt; 150,000
1/15 17&gt;24</t>
        </r>
      </text>
    </comment>
    <comment ref="B145" authorId="0" shapeId="0" xr:uid="{F4524867-6EDE-4711-A216-CEC37E7EDC0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12&gt;14</t>
        </r>
      </text>
    </comment>
    <comment ref="C145" authorId="0" shapeId="0" xr:uid="{0F3B8A55-DA1A-483A-90E3-57C17AE41C0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110,000 &gt; 120,000
1/15 12&gt;16</t>
        </r>
      </text>
    </comment>
    <comment ref="D145" authorId="0" shapeId="0" xr:uid="{9754F959-D964-462C-9EA7-C15AD73909F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145" authorId="0" shapeId="0" xr:uid="{AAA2672C-DBEA-41B9-A35C-0E84AC86E9B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1/15 15&gt;21</t>
        </r>
      </text>
    </comment>
    <comment ref="F145" authorId="0" shapeId="0" xr:uid="{9F60AB85-CD8A-48D3-A369-0AC782FC759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170,000 &gt; 150,000
1/15 17&gt;24</t>
        </r>
      </text>
    </comment>
    <comment ref="B146" authorId="0" shapeId="0" xr:uid="{F64817BA-38A2-4D9F-927E-12047B8B85C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13&gt;16
1/18 16&gt;18</t>
        </r>
      </text>
    </comment>
    <comment ref="C146" authorId="0" shapeId="0" xr:uid="{6CE6F9C6-B172-43D0-9137-04E874551EB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14&gt;17
1/18 17&gt;19</t>
        </r>
      </text>
    </comment>
    <comment ref="D146" authorId="0" shapeId="0" xr:uid="{D83EAC5F-B2D7-4BAD-BC56-D5D8871BC38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17&gt;24</t>
        </r>
      </text>
    </comment>
    <comment ref="E146" authorId="0" shapeId="0" xr:uid="{93ECB3C1-CA46-46FD-8C27-070D7D5167B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18&gt;25</t>
        </r>
      </text>
    </comment>
    <comment ref="F146" authorId="0" shapeId="0" xr:uid="{6496CD3F-DA90-4520-8312-1ECCBE71B45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20&gt;30</t>
        </r>
      </text>
    </comment>
    <comment ref="B147" authorId="0" shapeId="0" xr:uid="{5CEBE87C-68FF-42EB-8A47-5EE77024E62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13&gt;16
1/18 16&gt;18</t>
        </r>
      </text>
    </comment>
    <comment ref="D147" authorId="0" shapeId="0" xr:uid="{9474FFCE-DD73-4AB2-910D-7E0F3EA2149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147" authorId="0" shapeId="0" xr:uid="{F101540A-5E5F-4D83-A90D-44A4861E116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147" authorId="0" shapeId="0" xr:uid="{407A63D3-C510-47A3-90A3-81B172A4DB2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148" authorId="0" shapeId="0" xr:uid="{B3B064B5-A656-4F21-A52E-348089B525F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12&gt;14
1/18 14&gt;16</t>
        </r>
      </text>
    </comment>
    <comment ref="C148" authorId="0" shapeId="0" xr:uid="{F7EBE22D-56B2-4ABC-A722-A62C6BDBC96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12&gt;15
1/18 15&gt;17</t>
        </r>
      </text>
    </comment>
    <comment ref="D148" authorId="0" shapeId="0" xr:uid="{5CAC00FE-11E0-4ACC-AB98-FA620235B71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14&gt;19</t>
        </r>
      </text>
    </comment>
    <comment ref="E148" authorId="0" shapeId="0" xr:uid="{ACBD0EC7-B4F4-4FE1-A3CF-86D6B51F5C2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1/5 15&gt;21</t>
        </r>
      </text>
    </comment>
    <comment ref="F148" authorId="0" shapeId="0" xr:uid="{EE71D346-3F0D-4A30-A486-30BE2DCAF56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49" authorId="0" shapeId="0" xr:uid="{D4D61D09-E10F-4A16-B708-A910DB2B747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12&gt;14
1/18 14&gt;16</t>
        </r>
      </text>
    </comment>
    <comment ref="C149" authorId="0" shapeId="0" xr:uid="{030F657D-BB0F-4DAE-A1AD-022C5EC97C3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12&gt;15
1/18 15&gt;17</t>
        </r>
      </text>
    </comment>
    <comment ref="D149" authorId="0" shapeId="0" xr:uid="{8774C1D8-D9F8-4162-84ED-79A39E59AC6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14&gt;19</t>
        </r>
      </text>
    </comment>
    <comment ref="E149" authorId="0" shapeId="0" xr:uid="{7DD486ED-32D0-4CB3-A8F7-2898157B0AC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1/5 15&gt;21</t>
        </r>
      </text>
    </comment>
    <comment ref="F149" authorId="0" shapeId="0" xr:uid="{0EA3560B-7C59-479D-AA50-9647723622B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50" authorId="0" shapeId="0" xr:uid="{772C00BA-65AA-4D8F-A6B1-CF9D60D95AE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12&gt;14
1/18 14&gt;16</t>
        </r>
      </text>
    </comment>
    <comment ref="C150" authorId="0" shapeId="0" xr:uid="{36A05D8D-D679-4D7B-A985-79E48B544F0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12&gt;15
1/18 15&gt;17</t>
        </r>
      </text>
    </comment>
    <comment ref="D150" authorId="0" shapeId="0" xr:uid="{C875454C-3388-4A1C-B4B2-20BDD2653C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14&gt;19</t>
        </r>
      </text>
    </comment>
    <comment ref="E150" authorId="0" shapeId="0" xr:uid="{FFF6C372-C3BF-4EB6-AEA5-18EFD07CF98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1/5 15&gt;21</t>
        </r>
      </text>
    </comment>
    <comment ref="F150" authorId="0" shapeId="0" xr:uid="{7C821D10-9509-4C27-8DF9-4983B2E6167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51" authorId="0" shapeId="0" xr:uid="{ED20F882-8D66-468D-A53B-4E1C3F9667B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12&gt;14
1/18 14&gt;16</t>
        </r>
      </text>
    </comment>
    <comment ref="C151" authorId="0" shapeId="0" xr:uid="{2EC6F259-1CC8-4E7E-A7F0-6624865C783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12&gt;15
1/18 15&gt;17</t>
        </r>
      </text>
    </comment>
    <comment ref="D151" authorId="0" shapeId="0" xr:uid="{CF618A77-51A8-46E4-9337-10A878DC906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14&gt;19</t>
        </r>
      </text>
    </comment>
    <comment ref="E151" authorId="0" shapeId="0" xr:uid="{3E4072EF-B0CB-4F54-AF85-71DE0179A54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1/5 15&gt;21</t>
        </r>
      </text>
    </comment>
    <comment ref="F151" authorId="0" shapeId="0" xr:uid="{1DC45724-8824-43A7-B140-41A6826F93B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52" authorId="0" shapeId="0" xr:uid="{62A4CCA8-A47C-460B-8377-C836F8B987D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12&gt;14
1/18 14&gt;16</t>
        </r>
      </text>
    </comment>
    <comment ref="C152" authorId="0" shapeId="0" xr:uid="{1AC6A756-BCA1-4299-9D28-AFB0FC2F722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12&gt;15
1/18 15&gt;17</t>
        </r>
      </text>
    </comment>
    <comment ref="D152" authorId="0" shapeId="0" xr:uid="{41CFBAEA-1755-40A9-9435-94FF65941F8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14&gt;19</t>
        </r>
      </text>
    </comment>
    <comment ref="E152" authorId="0" shapeId="0" xr:uid="{782E5307-9598-4B43-B348-45D8BDD5F3E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1/5 15&gt;21</t>
        </r>
      </text>
    </comment>
    <comment ref="F152" authorId="0" shapeId="0" xr:uid="{2B2C0E1B-FFA9-44D7-A23A-453A973D54C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53" authorId="0" shapeId="0" xr:uid="{C90524D3-EBE5-4874-8E53-1BAB39DF7FA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13&gt;16
1/18 16&gt;18</t>
        </r>
      </text>
    </comment>
    <comment ref="D153" authorId="0" shapeId="0" xr:uid="{DE9A793B-519C-43E0-B367-B2B1E3F1899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17&gt;24</t>
        </r>
      </text>
    </comment>
    <comment ref="E153" authorId="0" shapeId="0" xr:uid="{AE044D5E-05C3-49C2-A3B4-E24F4B6C8D7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18&gt;25</t>
        </r>
      </text>
    </comment>
    <comment ref="F153" authorId="0" shapeId="0" xr:uid="{C156BA45-3C3E-42E6-80E9-3023E2ECE22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20&gt;30</t>
        </r>
      </text>
    </comment>
    <comment ref="B154" authorId="0" shapeId="0" xr:uid="{310BE2F7-D92B-4D39-9A5D-430E4646489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13&gt;16
1/18 16&gt;18</t>
        </r>
      </text>
    </comment>
    <comment ref="D154" authorId="0" shapeId="0" xr:uid="{641F3AE3-14EB-45A2-8622-B7C56F91760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154" authorId="0" shapeId="0" xr:uid="{B20A9128-47ED-4335-BF63-5181044A911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154" authorId="0" shapeId="0" xr:uid="{098D9C16-050B-4830-A395-5D863828595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155" authorId="0" shapeId="0" xr:uid="{1E3A2999-675A-471F-B739-A293D106344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12&gt;14
1/18 14&gt;16</t>
        </r>
      </text>
    </comment>
    <comment ref="C155" authorId="0" shapeId="0" xr:uid="{29A494A8-94C3-41A0-947F-278481CCFDF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12&gt;15
1/18 15&gt;17</t>
        </r>
      </text>
    </comment>
    <comment ref="D155" authorId="0" shapeId="0" xr:uid="{C1E774F3-11D6-441B-9D55-E9BC0917207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155" authorId="0" shapeId="0" xr:uid="{ED6AD9A3-DDFC-4B77-83C4-13A1F0550EE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1/5 15&gt;21</t>
        </r>
      </text>
    </comment>
    <comment ref="F155" authorId="0" shapeId="0" xr:uid="{C440191B-0516-42A2-BC09-E984DF2679C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56" authorId="0" shapeId="0" xr:uid="{6998E45A-84F8-455C-BA57-12B25E3A442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12&gt;14
1/18 14&gt;16</t>
        </r>
      </text>
    </comment>
    <comment ref="C156" authorId="0" shapeId="0" xr:uid="{6C572E27-8979-47B6-A5C4-ECEF9BDE440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12&gt;15
1/18 15&gt;17</t>
        </r>
      </text>
    </comment>
    <comment ref="D156" authorId="0" shapeId="0" xr:uid="{084F429C-E605-4E3E-83C4-2F88D7382FC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156" authorId="0" shapeId="0" xr:uid="{7FBC040B-CA43-4A75-ABEF-1ED742D5D1F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1/5 15&gt;21</t>
        </r>
      </text>
    </comment>
    <comment ref="F156" authorId="0" shapeId="0" xr:uid="{199FBE28-8870-48B9-BB0C-E9B7D3A821D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57" authorId="0" shapeId="0" xr:uid="{4F444FD7-D829-4BB0-8ECD-B4DE3434E98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12&gt;14
1/18 14&gt;16</t>
        </r>
      </text>
    </comment>
    <comment ref="C157" authorId="0" shapeId="0" xr:uid="{4F073B97-F44E-43E8-B398-C758E256253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12&gt;15
1/18 15&gt;17</t>
        </r>
      </text>
    </comment>
    <comment ref="D157" authorId="0" shapeId="0" xr:uid="{6A1021C6-F7D6-4CF3-83BF-27E4EE7F8CD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157" authorId="0" shapeId="0" xr:uid="{125F9CBB-71BA-4E3E-BCC0-4A6F61A447B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1/5 15&gt;21</t>
        </r>
      </text>
    </comment>
    <comment ref="F157" authorId="0" shapeId="0" xr:uid="{8256ED92-7396-4375-A8D2-983B9DB6204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58" authorId="0" shapeId="0" xr:uid="{5AC357DB-8124-4A63-90DD-1915C909540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12&gt;14
1/18 14&gt;16</t>
        </r>
      </text>
    </comment>
    <comment ref="C158" authorId="0" shapeId="0" xr:uid="{3FF9DD23-DC11-4599-B16F-1DEE329C57D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12&gt;15
1/18 15&gt;17</t>
        </r>
      </text>
    </comment>
    <comment ref="D158" authorId="0" shapeId="0" xr:uid="{8D92F032-FBB4-48D6-8527-04F84E1ADE9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158" authorId="0" shapeId="0" xr:uid="{F2CA161B-F016-46FC-AC3C-B8407FF67AD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1/5 15&gt;21</t>
        </r>
      </text>
    </comment>
    <comment ref="F158" authorId="0" shapeId="0" xr:uid="{5A49E83F-0BE3-4920-A685-90589DC3FE6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59" authorId="0" shapeId="0" xr:uid="{93A98278-C739-44F3-828E-190D66B9A69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12&gt;14
1/18 14&gt;16</t>
        </r>
      </text>
    </comment>
    <comment ref="C159" authorId="0" shapeId="0" xr:uid="{16C32826-9F1F-4A42-972D-1AC62F4A229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12&gt;15
1/18 15&gt;17</t>
        </r>
      </text>
    </comment>
    <comment ref="D159" authorId="0" shapeId="0" xr:uid="{474A3A27-0881-429B-8F3A-4B1F636FE3B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159" authorId="0" shapeId="0" xr:uid="{F7E5237B-8376-4FC2-B268-D7529219EE9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1/5 15&gt;21</t>
        </r>
      </text>
    </comment>
    <comment ref="F159" authorId="0" shapeId="0" xr:uid="{D984E734-7698-4F25-AD9E-398205FE64B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60" authorId="0" shapeId="0" xr:uid="{ED4A33F2-A63D-4121-B42B-FFB1D9C1F6D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13&gt;16
1/18 16&gt;18</t>
        </r>
      </text>
    </comment>
    <comment ref="C160" authorId="0" shapeId="0" xr:uid="{6AE60898-484D-4A49-88D2-C4B9F5D8552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14&gt;17
1/18 17&gt;19</t>
        </r>
      </text>
    </comment>
    <comment ref="D160" authorId="0" shapeId="0" xr:uid="{890C9A13-FCCC-4452-AB74-2DE7965653C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17&gt;24</t>
        </r>
      </text>
    </comment>
    <comment ref="E160" authorId="0" shapeId="0" xr:uid="{D324BEC3-5B94-4753-96C9-7A4B40DC76F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18&gt;25</t>
        </r>
      </text>
    </comment>
    <comment ref="F160" authorId="0" shapeId="0" xr:uid="{386545D1-0DB7-4159-9A37-4F3AF2F1AE1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20&gt;30</t>
        </r>
      </text>
    </comment>
    <comment ref="B161" authorId="0" shapeId="0" xr:uid="{B61AEF98-C442-4B75-87B5-D15C77BB82E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14&gt;16</t>
        </r>
      </text>
    </comment>
    <comment ref="C161" authorId="0" shapeId="0" xr:uid="{24F8B71F-E75A-4441-B7F0-FC54540BE3F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15&gt;17</t>
        </r>
      </text>
    </comment>
    <comment ref="D161" authorId="0" shapeId="0" xr:uid="{1D4C5A98-430A-4B16-9078-D6AC419EA58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161" authorId="0" shapeId="0" xr:uid="{D8BBFCB9-EEF0-45DC-9332-CF36FB8B079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161" authorId="0" shapeId="0" xr:uid="{5DD933C7-1C82-4F72-BCD8-E77C156B68E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162" authorId="0" shapeId="0" xr:uid="{D7A35387-00AE-491F-B174-B861BB2258C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62" authorId="0" shapeId="0" xr:uid="{E8B3B747-F608-4B34-A5FE-4B71718788E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62" authorId="0" shapeId="0" xr:uid="{FB6EF2F4-9120-4A23-BD00-E9A28E4C7BF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62" authorId="0" shapeId="0" xr:uid="{2442AFD3-B6B3-4EDA-BEF8-8133CB3E147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62" authorId="0" shapeId="0" xr:uid="{ED5145C0-798F-4527-B77B-04708290A0B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63" authorId="0" shapeId="0" xr:uid="{F2CAB24B-7491-4EE9-B964-8F01DCE89E4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63" authorId="0" shapeId="0" xr:uid="{560DAC7D-CF63-4292-916C-C4F4537CB9C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63" authorId="0" shapeId="0" xr:uid="{29D4820A-33EB-4BF5-90A9-8B68531E5BE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63" authorId="0" shapeId="0" xr:uid="{F03A36A7-077A-4675-90F1-9C7A7A0E260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63" authorId="0" shapeId="0" xr:uid="{DB989820-43DA-4F69-A038-748CDE48BB0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64" authorId="0" shapeId="0" xr:uid="{E63FA6C9-84AE-441B-82F5-5A3BAB51505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64" authorId="0" shapeId="0" xr:uid="{ADAD56EC-216E-46D9-829F-C49FC74DA22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64" authorId="0" shapeId="0" xr:uid="{4222BB97-1329-431C-BCC9-A94D029CBA4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64" authorId="0" shapeId="0" xr:uid="{2352B915-67FE-4B9D-8786-C4F3CF204E2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64" authorId="0" shapeId="0" xr:uid="{917CC53A-7227-436A-B445-53D6799EDD4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65" authorId="0" shapeId="0" xr:uid="{B9DB8F4A-9244-48FC-B078-9F7E37BA1AB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65" authorId="0" shapeId="0" xr:uid="{498632E2-023C-477E-8823-C5384BBAAF3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65" authorId="0" shapeId="0" xr:uid="{37482F3E-0835-4BF2-A475-F0ED9E163DA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65" authorId="0" shapeId="0" xr:uid="{B7C8DD70-DB3C-48FB-AE34-F7634932F47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65" authorId="0" shapeId="0" xr:uid="{8C1948BC-03D6-45FB-85D2-1F119FFE12C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66" authorId="0" shapeId="0" xr:uid="{58E2D059-9BB8-4D9B-BCC5-9334B6907BB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66" authorId="0" shapeId="0" xr:uid="{91DF7559-22DA-4424-8D8B-571D91A688E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66" authorId="0" shapeId="0" xr:uid="{660621AE-95BB-4CDD-8BE4-CB3E3EB1F3C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66" authorId="0" shapeId="0" xr:uid="{2F261BC9-85B9-4F7C-803E-96FDE30A9CB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66" authorId="0" shapeId="0" xr:uid="{DC6C74EC-F28B-4A14-B20B-9B7C1336F2A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67" authorId="0" shapeId="0" xr:uid="{B5E7B07C-16C8-49C6-9296-4EC03ADB194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167" authorId="0" shapeId="0" xr:uid="{1A32CD4C-B48F-4C02-B80F-E4814BF43AD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167" authorId="0" shapeId="0" xr:uid="{9A6B651B-159D-4285-A2C0-A252E522B59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167" authorId="0" shapeId="0" xr:uid="{BBE92D85-5978-4ABD-B6AA-6FD85ECAD63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167" authorId="0" shapeId="0" xr:uid="{8F863AD4-3D42-443E-B7C5-C7D7BE8142E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168" authorId="0" shapeId="0" xr:uid="{94B4B9E0-8053-4458-8E4C-59BEE29E1BF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168" authorId="0" shapeId="0" xr:uid="{1D89C900-A79D-4AE3-AB0D-013AF7E3417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168" authorId="0" shapeId="0" xr:uid="{BF1BB2BE-A0A9-477F-97B4-ED93A7A1011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168" authorId="0" shapeId="0" xr:uid="{39FB5C4F-1C81-458C-9DF6-73F481C4AE7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168" authorId="0" shapeId="0" xr:uid="{A3AD7CF3-64AD-4A4B-98D7-79B697906D1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169" authorId="0" shapeId="0" xr:uid="{9DDAED93-1293-497E-89E4-9577AD1E2FD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69" authorId="0" shapeId="0" xr:uid="{C745C082-34C6-48E8-9434-F3D41CD827F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69" authorId="0" shapeId="0" xr:uid="{10B385E3-1F2A-4690-AC74-63033E47BE0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69" authorId="0" shapeId="0" xr:uid="{51DA532C-5C8C-4877-B045-576FD1805A7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69" authorId="0" shapeId="0" xr:uid="{9AF40430-C890-4733-9716-4310151D5FD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70" authorId="0" shapeId="0" xr:uid="{F11388A6-F9F5-4373-BCD7-671F4D268DD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70" authorId="0" shapeId="0" xr:uid="{DB6192BE-BBCC-4CCF-89D5-82CC07AD2B0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70" authorId="0" shapeId="0" xr:uid="{91B1CF27-AC06-4AE5-A396-25C3122CCFA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70" authorId="0" shapeId="0" xr:uid="{998B9AFB-75D6-4FEC-922B-2400254F982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70" authorId="0" shapeId="0" xr:uid="{97404D55-B6DB-4770-A3D0-5BC34B5EE7E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71" authorId="0" shapeId="0" xr:uid="{67362BB2-82EE-4447-9261-78E48A652CE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71" authorId="0" shapeId="0" xr:uid="{1E639D1D-D10A-447E-BC8E-64EEECBB64C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71" authorId="0" shapeId="0" xr:uid="{DF7304A8-7D6C-40E9-BC12-F74831934DD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71" authorId="0" shapeId="0" xr:uid="{98800CF1-97A1-4BF2-B558-B53C7C059F3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71" authorId="0" shapeId="0" xr:uid="{38831E48-4FEA-405F-BCE4-8F62AD42FAA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72" authorId="0" shapeId="0" xr:uid="{C3B62F86-D336-425E-B73D-11F4FAB9148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72" authorId="0" shapeId="0" xr:uid="{1F5781EA-0C33-4B58-973B-C7C9C1437FF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72" authorId="0" shapeId="0" xr:uid="{CB2033A0-719B-462F-A900-3BB193ED55A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72" authorId="0" shapeId="0" xr:uid="{099CABE1-ACC5-47F5-AEC4-E56BC6E3E41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72" authorId="0" shapeId="0" xr:uid="{7C68D5A3-3624-49BD-B180-235B93F203E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73" authorId="0" shapeId="0" xr:uid="{4BE39C5E-176E-4073-B8CF-96251103E03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73" authorId="0" shapeId="0" xr:uid="{5C428A08-AF51-48B9-91F6-15DF49AB43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73" authorId="0" shapeId="0" xr:uid="{5DC44D73-022C-4E6A-BACE-C3DA1C4D220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73" authorId="0" shapeId="0" xr:uid="{D054D86A-8882-4A40-A7D1-EC7182EBE8C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73" authorId="0" shapeId="0" xr:uid="{BB9A3C76-A7CB-4521-BDD7-B4D80EBB338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74" authorId="0" shapeId="0" xr:uid="{1D0ED83F-4249-4410-9A7F-83295F964B4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174" authorId="0" shapeId="0" xr:uid="{76AF1D22-7437-4F69-87AF-213B73A4469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174" authorId="0" shapeId="0" xr:uid="{F8539826-CE5F-4F77-8FFE-67526735529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174" authorId="0" shapeId="0" xr:uid="{F6E809AC-4B30-4A50-9E4D-B01C54D15C8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174" authorId="0" shapeId="0" xr:uid="{7BB6D7B8-9ED7-45BD-9B87-511EF45CBBC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175" authorId="0" shapeId="0" xr:uid="{8EF47A58-DB7E-4486-9052-0D775923C69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175" authorId="0" shapeId="0" xr:uid="{24496BFE-5446-424B-B87F-1A4C50DAC50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175" authorId="0" shapeId="0" xr:uid="{F303B8F8-15E3-4C76-BA26-910B5D59CE8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175" authorId="0" shapeId="0" xr:uid="{2335E506-DEE3-4D61-B728-E8424396213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175" authorId="0" shapeId="0" xr:uid="{B020B3D4-24D9-4488-86BF-72DF4241FFD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176" authorId="0" shapeId="0" xr:uid="{1D86FC01-178B-441F-AD59-95849AE879D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76" authorId="0" shapeId="0" xr:uid="{59D8D313-536D-44C2-A673-6AC9F563D16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76" authorId="0" shapeId="0" xr:uid="{C45C8A2A-52CB-4D20-8284-C6742BA31B2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76" authorId="0" shapeId="0" xr:uid="{EC947E91-2F02-4C7A-87AF-93CB1EE2854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76" authorId="0" shapeId="0" xr:uid="{425A6871-512A-463D-9731-E82FF2036EE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77" authorId="0" shapeId="0" xr:uid="{72D022AB-54D9-4A90-A5BE-5C37BFE4F01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77" authorId="0" shapeId="0" xr:uid="{6BF8EB78-24D5-41C1-926D-0121E4978A3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77" authorId="0" shapeId="0" xr:uid="{56F51DBF-9B68-4F2E-AA9A-4BDFF7A854F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77" authorId="0" shapeId="0" xr:uid="{9357FA73-20D3-4C8F-86EF-0BB179A985A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77" authorId="0" shapeId="0" xr:uid="{9D79CF09-E83D-43AF-9FB1-21480D61F9C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78" authorId="0" shapeId="0" xr:uid="{20A751F3-E616-43A0-954C-42C0D54A8FF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78" authorId="0" shapeId="0" xr:uid="{33B3B179-2F69-4737-9C92-23AA2690AAD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78" authorId="0" shapeId="0" xr:uid="{A9116C2D-B265-4EE2-96EA-1BB67660063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78" authorId="0" shapeId="0" xr:uid="{B61BE67C-CFC2-4642-9DD7-C5003D016A8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78" authorId="0" shapeId="0" xr:uid="{891BE81E-B205-40C8-9F5E-8D121881756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79" authorId="0" shapeId="0" xr:uid="{EA8E14F0-E5BA-419B-B240-49CCBA3E89B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79" authorId="0" shapeId="0" xr:uid="{C9A7219C-6372-47F7-8553-08B25B8A3A1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79" authorId="0" shapeId="0" xr:uid="{6DF757F8-BAA3-4496-ACC5-0507CD6F1FE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79" authorId="0" shapeId="0" xr:uid="{1DC624B3-799E-4927-9009-AD91509BC7F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B180" authorId="0" shapeId="0" xr:uid="{01F33360-9105-43B4-BFA0-C190C77389B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80" authorId="0" shapeId="0" xr:uid="{0DC25B3E-207F-4AB0-9E0B-DC2A7FCDF10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80" authorId="0" shapeId="0" xr:uid="{C616C70B-46CD-4828-BA8E-2A1FA46FDFF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80" authorId="0" shapeId="0" xr:uid="{344FA568-DE17-45EA-8D08-B6D27608A27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80" authorId="0" shapeId="0" xr:uid="{C95BEEBB-A393-489F-BC03-1A60ACB46F8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81" authorId="0" shapeId="0" xr:uid="{B79F250C-DCE1-4C9A-B2B9-40B4BDC5D32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181" authorId="0" shapeId="0" xr:uid="{249D0CFD-3A3C-4A46-9E5A-155D5AE562E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181" authorId="0" shapeId="0" xr:uid="{F36E69D1-F866-4D90-913B-306285E60DE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181" authorId="0" shapeId="0" xr:uid="{4ABBDE9A-99C0-4704-AFAC-E320098F6C6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181" authorId="0" shapeId="0" xr:uid="{FB79F1CE-E663-4C1C-A8DE-037E995A4BA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182" authorId="0" shapeId="0" xr:uid="{56F45F1E-F938-4326-A3B6-FA6E3D44D75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182" authorId="0" shapeId="0" xr:uid="{2B1C55CC-3B2C-4142-93BA-F55C25D2A17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182" authorId="0" shapeId="0" xr:uid="{A643D5FF-5DCC-42FC-8B56-8666E4CAB28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182" authorId="0" shapeId="0" xr:uid="{09FC57AE-386F-4AEF-86B6-BA1DEB1E8D5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182" authorId="0" shapeId="0" xr:uid="{DE522E04-EB7E-4EE4-BA2F-F74C89D3A03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183" authorId="0" shapeId="0" xr:uid="{A051E80F-2A0D-4536-A9AA-572EDA1A66C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83" authorId="0" shapeId="0" xr:uid="{9375F6A1-BC1D-44C9-BC27-72E8E0DCFC8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83" authorId="0" shapeId="0" xr:uid="{2BD18DDE-A95B-4D7A-9815-3F4C675B8CC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83" authorId="0" shapeId="0" xr:uid="{9C0A4929-50D9-4517-9A18-7D89541EE6D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83" authorId="0" shapeId="0" xr:uid="{98D329E6-42C7-4A1B-A259-AA33F5CBBF7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84" authorId="0" shapeId="0" xr:uid="{3F545F7B-90CD-45EE-9DBF-48003C8D572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84" authorId="0" shapeId="0" xr:uid="{568ACFA3-7B4A-406A-8A44-46C33316F6D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84" authorId="0" shapeId="0" xr:uid="{E573A933-0A98-4FE2-B2D8-DECDF1B5260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84" authorId="0" shapeId="0" xr:uid="{F161620A-1FB1-4FA1-8C63-C88FE885EB7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84" authorId="0" shapeId="0" xr:uid="{DA8903E5-20BD-4415-9DD4-CAF50C4251F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85" authorId="0" shapeId="0" xr:uid="{38685A12-8D7B-426D-B716-4AC2A7ED937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85" authorId="0" shapeId="0" xr:uid="{D5F1F44A-B273-4C02-8746-F7592C5207D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85" authorId="0" shapeId="0" xr:uid="{84CA4094-96F7-4D17-A471-1D7F5E78F9A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85" authorId="0" shapeId="0" xr:uid="{310FFD04-D78A-4739-8A9D-755F1C09C24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85" authorId="0" shapeId="0" xr:uid="{B557FE0A-8A17-4E02-B8F1-D624EB7848E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86" authorId="0" shapeId="0" xr:uid="{7CA974FB-37DC-4209-8F94-4EE997221E3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86" authorId="0" shapeId="0" xr:uid="{CEF1D635-A2F2-479F-9B75-2A685E95E4B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86" authorId="0" shapeId="0" xr:uid="{B80DD79A-8D13-4D20-B4A0-620023A2CB7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86" authorId="0" shapeId="0" xr:uid="{388538D3-1570-4706-AC79-17CBA9C66F1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86" authorId="0" shapeId="0" xr:uid="{558E2CCF-523F-42F5-A545-7A51C92C51F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87" authorId="0" shapeId="0" xr:uid="{6EEC7625-1150-4467-9B9A-4BCEA9EBA55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87" authorId="0" shapeId="0" xr:uid="{62EA21A5-8468-44A8-8BAA-75C578030F2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87" authorId="0" shapeId="0" xr:uid="{74AB1898-322A-4384-99EC-C17806FDB25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87" authorId="0" shapeId="0" xr:uid="{96B55129-F950-4FB3-86BD-9DA94C184F9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87" authorId="0" shapeId="0" xr:uid="{DBBC7C45-7DF1-4C95-BD6D-A95AE067181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88" authorId="0" shapeId="0" xr:uid="{D595655F-0C17-475E-A202-B5D55F404B3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188" authorId="0" shapeId="0" xr:uid="{AA8D7DE9-A45F-4BCF-8B16-608A11C10F2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188" authorId="0" shapeId="0" xr:uid="{DDF06D74-B75F-4AEC-996E-2292DD3AE0D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188" authorId="0" shapeId="0" xr:uid="{EC2510D3-4F02-4CB3-840C-838F582AF6F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188" authorId="0" shapeId="0" xr:uid="{299ED3AB-6129-4A77-BD19-389B7508DA8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189" authorId="0" shapeId="0" xr:uid="{4484533F-0AE6-4B0D-805F-506FFCDBAC7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189" authorId="0" shapeId="0" xr:uid="{6EB67A92-F1F8-4B7D-B0B5-AF3A1E89DA2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189" authorId="0" shapeId="0" xr:uid="{8E63ABCC-D388-4BEA-9278-ED1E667206B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189" authorId="0" shapeId="0" xr:uid="{F7A87E97-0656-4B9F-8334-BB8DF5F16F5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189" authorId="0" shapeId="0" xr:uid="{5B669DDA-6B5B-4B96-86D6-19FF23D8A73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190" authorId="0" shapeId="0" xr:uid="{4EAD1126-B569-4DE0-BBC1-2FEA217020D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90" authorId="0" shapeId="0" xr:uid="{26E92E92-88A8-4333-A131-82DD17B8545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90" authorId="0" shapeId="0" xr:uid="{6984B45A-F486-4CF4-A2D4-3CE9E38E1EA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90" authorId="0" shapeId="0" xr:uid="{121B0173-00B5-4945-8844-E363AB2366D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90" authorId="0" shapeId="0" xr:uid="{442357A3-2E9C-482F-BD19-B0F8B3F07E6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91" authorId="0" shapeId="0" xr:uid="{66146B36-A22D-4D81-9E45-9E5721CB408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91" authorId="0" shapeId="0" xr:uid="{0FB25445-8280-48A4-A2D0-3FBE5EAF449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91" authorId="0" shapeId="0" xr:uid="{73300718-9FC4-48A5-B165-02A16B3CA55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91" authorId="0" shapeId="0" xr:uid="{6C2F3C59-DB8D-493A-975C-DDD4CFD9B1F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91" authorId="0" shapeId="0" xr:uid="{9CA8885C-6A66-45E1-8DE2-D5AD0118E43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92" authorId="0" shapeId="0" xr:uid="{10DB03BC-549A-4384-9BDD-A90D6B62D0C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92" authorId="0" shapeId="0" xr:uid="{8F860975-0953-45D0-BE87-29DBA0AC57E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92" authorId="0" shapeId="0" xr:uid="{CA3E0241-50BD-4162-84BF-F990659DB2B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92" authorId="0" shapeId="0" xr:uid="{B835D0F8-9494-46E7-8E96-BE834C4DA77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92" authorId="0" shapeId="0" xr:uid="{9F24B2C7-C4CB-4F5C-9DC2-41A6D3AFEAF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93" authorId="0" shapeId="0" xr:uid="{A330CCDC-A652-4413-BEC8-B7DADE41D7F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93" authorId="0" shapeId="0" xr:uid="{715CCCBB-B2B4-4D01-9578-F3718B28911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93" authorId="0" shapeId="0" xr:uid="{921F0431-DCA3-4491-88AA-C4B168792F6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93" authorId="0" shapeId="0" xr:uid="{7DD426D8-481A-4299-92E9-500DD4C9F4B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93" authorId="0" shapeId="0" xr:uid="{D72CE405-82CF-46AC-9746-34C85AF1C26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94" authorId="0" shapeId="0" xr:uid="{956F77C3-8B66-45CC-AACE-99EF82FEA4A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94" authorId="0" shapeId="0" xr:uid="{CA3487C5-96DF-40A0-997D-8A1BC9F6F47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94" authorId="0" shapeId="0" xr:uid="{D066B1BC-A6B9-43E7-8A61-F20B101E58A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94" authorId="0" shapeId="0" xr:uid="{4DD33AE3-3985-4E79-B59D-124212E46E3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94" authorId="0" shapeId="0" xr:uid="{D2BD07AF-426E-4DBA-B5B7-CAF2128C59D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95" authorId="0" shapeId="0" xr:uid="{D396B00F-F0F5-43DF-B786-14CAB408725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195" authorId="0" shapeId="0" xr:uid="{16E4ED7E-60C3-4019-90AD-5F20845786F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195" authorId="0" shapeId="0" xr:uid="{768065C0-01C5-49FF-8352-0E3A99F1EA8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195" authorId="0" shapeId="0" xr:uid="{50A81888-5292-4594-97B4-745DBFC8BA9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195" authorId="0" shapeId="0" xr:uid="{C2C3D2CE-119F-461A-AE67-95B50D9A14B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196" authorId="0" shapeId="0" xr:uid="{D20923A2-A7D3-4AA6-A07A-A1878736782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196" authorId="0" shapeId="0" xr:uid="{CA6FEB16-1EBE-4DDE-96CC-EE6152BA31D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196" authorId="0" shapeId="0" xr:uid="{5E44E6D3-17AF-455B-AC1C-9BBAA51D74D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196" authorId="0" shapeId="0" xr:uid="{5C8D0F44-6781-4AB4-8CA6-72AAED50EA7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196" authorId="0" shapeId="0" xr:uid="{BBDF3588-11B7-438C-8796-0DE038B0A3D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197" authorId="0" shapeId="0" xr:uid="{C912186A-8CA5-42F3-A552-FCC3ECAD0A7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97" authorId="0" shapeId="0" xr:uid="{4FA7ABBC-55F6-4F97-ACC1-3E4A4668BE2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97" authorId="0" shapeId="0" xr:uid="{73E9C517-DFC0-4B51-97E1-2BD07DFF22E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97" authorId="0" shapeId="0" xr:uid="{1E953F82-E565-4350-9805-9A0ADCC35C9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97" authorId="0" shapeId="0" xr:uid="{49FF6898-7818-406D-8678-5FB1687805B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98" authorId="0" shapeId="0" xr:uid="{566A6436-31F1-4772-BD6C-A166B80367A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98" authorId="0" shapeId="0" xr:uid="{9193F069-BC80-4DA0-8123-17E751B77E2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98" authorId="0" shapeId="0" xr:uid="{7DA4D9BB-5CC8-44D8-AFAE-29AF4993B68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98" authorId="0" shapeId="0" xr:uid="{0A949E01-AE1D-47C6-9D35-B3297C38956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98" authorId="0" shapeId="0" xr:uid="{33F93B4A-E545-4FC8-B7EE-9ACB666DF69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199" authorId="0" shapeId="0" xr:uid="{38D3EF90-52B1-424A-A75C-51D66E9811C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199" authorId="0" shapeId="0" xr:uid="{6FD26C2C-000E-4A4A-A348-ED2BF36A36B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199" authorId="0" shapeId="0" xr:uid="{8A3DE94C-AC77-4330-B5EF-64F82D3B2C4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199" authorId="0" shapeId="0" xr:uid="{450DF3A6-95AF-458C-8958-AB7DC43E4D4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199" authorId="0" shapeId="0" xr:uid="{9830EAA8-3085-40F5-81D4-D7FBA1D7974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00" authorId="0" shapeId="0" xr:uid="{5B5879B8-E615-4901-A647-4CEF63623D1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00" authorId="0" shapeId="0" xr:uid="{38754468-E848-40A6-A923-4E21FD00D4C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00" authorId="0" shapeId="0" xr:uid="{9400821C-61D6-43EC-9224-C6EA936E9E3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00" authorId="0" shapeId="0" xr:uid="{73ACAAB0-8AE8-4000-A1A3-873917FFAF4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00" authorId="0" shapeId="0" xr:uid="{84B12716-696F-4BB9-8720-B5FDD49FBC0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01" authorId="0" shapeId="0" xr:uid="{A4CE4DA6-E9E1-4C4B-84F2-3BE62DCB262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01" authorId="0" shapeId="0" xr:uid="{70A8110E-2EDC-4466-884D-4F8FBEE6060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01" authorId="0" shapeId="0" xr:uid="{E7CB7CB3-497C-4F11-B036-FEA155CF086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01" authorId="0" shapeId="0" xr:uid="{F609FD64-7D49-4D83-B2E3-6FA6FC01F0B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01" authorId="0" shapeId="0" xr:uid="{0E0D5370-08C6-4C01-8579-256289E0DFA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02" authorId="0" shapeId="0" xr:uid="{28B814A8-3C17-48F3-94C7-B2E2D4ACF48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202" authorId="0" shapeId="0" xr:uid="{D40971BE-DBF1-455A-A354-44E9D0D654D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202" authorId="0" shapeId="0" xr:uid="{CA53305A-679B-4B50-8C0F-FDCC53B29F9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202" authorId="0" shapeId="0" xr:uid="{DA764120-F51E-46BD-A7F6-732CDA3A8B5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202" authorId="0" shapeId="0" xr:uid="{CCE0BFBB-B99D-435B-BA4B-D7F3ED7A864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203" authorId="0" shapeId="0" xr:uid="{53676B7C-C9D2-4FCF-9C01-20EAC6E9C16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203" authorId="0" shapeId="0" xr:uid="{BDEB6ECB-FA52-434F-B6D3-0E7EBA99A76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203" authorId="0" shapeId="0" xr:uid="{37072298-1C28-4802-909B-ED7EB79ED37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203" authorId="0" shapeId="0" xr:uid="{1012162F-F536-4E1F-92EE-254483953C0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203" authorId="0" shapeId="0" xr:uid="{74184DB7-B036-4DAF-908D-344933FB961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204" authorId="0" shapeId="0" xr:uid="{D65ABE96-7B26-4C74-BAAE-5025ADACEE7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04" authorId="0" shapeId="0" xr:uid="{61C9C3A4-5221-4694-92BF-93EA78D39CA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04" authorId="0" shapeId="0" xr:uid="{1A91EC56-BA61-419E-9635-6CB1307DB7B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04" authorId="0" shapeId="0" xr:uid="{1E8EF1CA-594A-47D3-BC5A-2DB39324B0E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04" authorId="0" shapeId="0" xr:uid="{0F82F628-D3B8-4687-B4C2-1F984841686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05" authorId="0" shapeId="0" xr:uid="{E77F42F9-97B6-485E-8EA0-AE955F61D56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05" authorId="0" shapeId="0" xr:uid="{0D877DDF-3697-4392-BF21-8D31FC6DCF8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05" authorId="0" shapeId="0" xr:uid="{4C120420-EBEF-4051-B50D-0F114851091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05" authorId="0" shapeId="0" xr:uid="{D153F37B-DAD5-4B60-BEE6-CEA932BF5B3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05" authorId="0" shapeId="0" xr:uid="{80EB64BD-4346-4F75-AF53-84FAEFCA628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06" authorId="0" shapeId="0" xr:uid="{B741D253-EFCE-41E7-9121-EABBD950880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06" authorId="0" shapeId="0" xr:uid="{E7D1F14D-0F93-4A06-A983-C7614D12DF8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06" authorId="0" shapeId="0" xr:uid="{DD1F2A04-BAC8-4DB5-9D84-126E3FCD0BF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06" authorId="0" shapeId="0" xr:uid="{8D84F8D6-A343-40D7-96CF-CA2A8B85F64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06" authorId="0" shapeId="0" xr:uid="{EDC9486D-AEDD-4946-98B6-AA2B9BB7DCF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07" authorId="0" shapeId="0" xr:uid="{63F017BC-C77C-4C77-AE2F-AFAD572F259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07" authorId="0" shapeId="0" xr:uid="{C39E77BC-23A1-46D8-92C1-4E52FAE4A21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07" authorId="0" shapeId="0" xr:uid="{0C4CCCC7-8A01-4C5A-AFED-5A2FB26BBBE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07" authorId="0" shapeId="0" xr:uid="{9B21A11C-D947-44FD-942F-89BA13D29B6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07" authorId="0" shapeId="0" xr:uid="{E8D325B2-CEFD-4E93-8D34-53CB9D246B2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08" authorId="0" shapeId="0" xr:uid="{D165E839-8626-47D7-8DD5-2542EC83303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08" authorId="0" shapeId="0" xr:uid="{6509806E-C6B7-4E7D-B2E9-5E54A87DA48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08" authorId="0" shapeId="0" xr:uid="{DD5E2CF0-19AF-4A03-BA5C-EA6D7B3CFC5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08" authorId="0" shapeId="0" xr:uid="{3AEEDBF6-F62F-4C63-9C4A-B88A7139783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08" authorId="0" shapeId="0" xr:uid="{7FE6FA46-9056-4F2B-A552-B219C18E2BC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09" authorId="0" shapeId="0" xr:uid="{2768F129-8D59-49D1-A9A7-FA9B9721631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209" authorId="0" shapeId="0" xr:uid="{0D349487-847B-4BB7-AE23-65A695E60DC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209" authorId="0" shapeId="0" xr:uid="{8670B601-AAFB-480E-915E-7879FCC16FA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209" authorId="0" shapeId="0" xr:uid="{1E174CEC-DD6F-4BF1-A4EC-139726B1394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209" authorId="0" shapeId="0" xr:uid="{58AC2711-25BD-4AB7-9C8A-EBAE6AA9AEE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210" authorId="0" shapeId="0" xr:uid="{28EE4B6D-66D0-4D73-913E-70F0D35195E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210" authorId="0" shapeId="0" xr:uid="{A747FF40-7923-4FEB-B5E1-59C5BA758B4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210" authorId="0" shapeId="0" xr:uid="{51060568-2E96-4FF7-A3B1-5DCBA4C4130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210" authorId="0" shapeId="0" xr:uid="{FA2ECC13-C34B-415A-9954-507065DD1E2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210" authorId="0" shapeId="0" xr:uid="{C3D03F17-D866-4B89-8931-5220A7EECFA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211" authorId="0" shapeId="0" xr:uid="{26A6E001-D7A9-41FC-90B8-FAF88B74AD5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11" authorId="0" shapeId="0" xr:uid="{BBFCB81C-EA8A-4644-A6C9-2A1DB6223AA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11" authorId="0" shapeId="0" xr:uid="{85B644C3-5CD1-48C0-AE77-5F74B38B29D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11" authorId="0" shapeId="0" xr:uid="{16D87972-2C2C-40DC-B91E-B4E49B86F89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11" authorId="0" shapeId="0" xr:uid="{F8493A8D-2A29-4428-AB75-1AAD8041E50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12" authorId="0" shapeId="0" xr:uid="{0B7240C8-07AD-4E38-B62F-DA01DAB5916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12" authorId="0" shapeId="0" xr:uid="{A5D1A3C3-92A8-46FD-B711-85A6ACC96DA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12" authorId="0" shapeId="0" xr:uid="{A036629C-9A2B-4F63-971B-936AA1D1567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12" authorId="0" shapeId="0" xr:uid="{222B1C53-1188-48B2-A904-2F3946FB7BD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12" authorId="0" shapeId="0" xr:uid="{4F568B0B-64F8-4CA2-99FB-916664210D0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13" authorId="0" shapeId="0" xr:uid="{B98AA467-0465-4B68-BFB4-FEF325C8242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13" authorId="0" shapeId="0" xr:uid="{C464EC28-8F69-4EC0-8878-9ECBF6E327F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13" authorId="0" shapeId="0" xr:uid="{72E01274-6D96-4C49-8617-63989206E00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13" authorId="0" shapeId="0" xr:uid="{A46BBDC9-665D-4DE1-AD23-7E4B290A81B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13" authorId="0" shapeId="0" xr:uid="{789899C4-2031-470B-B89D-B92996C991B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14" authorId="0" shapeId="0" xr:uid="{B9C831DA-70E0-4300-883B-57D4D0EC258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14" authorId="0" shapeId="0" xr:uid="{643C8E44-B28C-4955-93D2-4207B5163EC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14" authorId="0" shapeId="0" xr:uid="{E2EF5306-2DE1-4987-95CC-FE0EB9D90D0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14" authorId="0" shapeId="0" xr:uid="{A83588EB-CDDE-4CCB-9734-7F6EE3CE8B1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14" authorId="0" shapeId="0" xr:uid="{C0863E08-092D-4718-B4E1-4F28A088529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15" authorId="0" shapeId="0" xr:uid="{57E06D1C-B7E4-4787-A9B6-84ED730744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15" authorId="0" shapeId="0" xr:uid="{7723B7B7-91DD-49F4-8F95-98D7AA7EF2D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15" authorId="0" shapeId="0" xr:uid="{48EFA98A-59DB-4628-9C87-47CF5568A8B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15" authorId="0" shapeId="0" xr:uid="{49D75F58-BBDA-4DFF-A298-ACE3B6125DB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15" authorId="0" shapeId="0" xr:uid="{DDB5A973-537C-4A34-A937-83B027562CB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16" authorId="0" shapeId="0" xr:uid="{551ACA7A-B05E-49AC-ADC3-FCA0C33C8F0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216" authorId="0" shapeId="0" xr:uid="{1337CD4A-116F-4632-8901-DCF27C84506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216" authorId="0" shapeId="0" xr:uid="{F0FF9C05-D8A9-42A0-B006-E7AA0A54E39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216" authorId="0" shapeId="0" xr:uid="{EBD34936-FE83-4B07-BF6D-D341EFD99FF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216" authorId="0" shapeId="0" xr:uid="{38032EE0-776F-4A68-8FAD-D5B9228D9D8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217" authorId="0" shapeId="0" xr:uid="{44138302-495B-4CB1-93F4-CF2B51A39B5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217" authorId="0" shapeId="0" xr:uid="{9E8EF175-9E5B-44E2-94A8-B4BEB4A954B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217" authorId="0" shapeId="0" xr:uid="{86B33CE4-38A0-4A71-AC81-5E69F691FD7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217" authorId="0" shapeId="0" xr:uid="{5B5881BB-98F2-4338-B52B-2D9A1D3FA1E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217" authorId="0" shapeId="0" xr:uid="{AB5361C0-6681-4C9F-8D02-58DAA91C863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218" authorId="0" shapeId="0" xr:uid="{0A945050-E84E-4718-99BA-BA6690D832A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18" authorId="0" shapeId="0" xr:uid="{96CB0E7D-98A4-4394-8586-A3DFDCBB26A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18" authorId="0" shapeId="0" xr:uid="{59C462E4-0178-4FAB-8A67-E003C5733B4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18" authorId="0" shapeId="0" xr:uid="{D8F33E89-BA38-4FF2-80A0-A17F06FD127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18" authorId="0" shapeId="0" xr:uid="{46A3DF73-CA8D-4780-84B8-965A0021BED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19" authorId="0" shapeId="0" xr:uid="{EE51A6F5-CB78-4632-9C4A-5AE1596BD65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19" authorId="0" shapeId="0" xr:uid="{D6DC5074-943D-476E-9D0F-C81DB18E712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19" authorId="0" shapeId="0" xr:uid="{EC734176-34DA-4571-8F0E-FE747946147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19" authorId="0" shapeId="0" xr:uid="{CBE4E514-DF9D-46DA-9DBA-5153329F25C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19" authorId="0" shapeId="0" xr:uid="{845D23C9-7263-48DE-B88B-8103ECAA6B5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20" authorId="0" shapeId="0" xr:uid="{1C364DBC-8E18-4EFD-B3BD-C3F863BD643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20" authorId="0" shapeId="0" xr:uid="{D8C9342B-C7BC-4EFA-86FC-4E4E2301FB7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20" authorId="0" shapeId="0" xr:uid="{8A5869E1-450E-4681-83F2-9FAB2593711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20" authorId="0" shapeId="0" xr:uid="{411501B7-4801-4774-8EB3-A032AD7EB59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20" authorId="0" shapeId="0" xr:uid="{DBE3A236-EE32-4E4C-A029-A6456FE1759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21" authorId="0" shapeId="0" xr:uid="{E264BDF5-72BA-4507-8D59-9CE05B0ACE4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21" authorId="0" shapeId="0" xr:uid="{A1DB974E-7230-461A-B438-1959EB59D1E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21" authorId="0" shapeId="0" xr:uid="{397EFEA5-6A97-4090-B84C-B1C646E313B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21" authorId="0" shapeId="0" xr:uid="{60960E9A-B955-4DC6-9852-BF3F60C51E3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21" authorId="0" shapeId="0" xr:uid="{884DC4CC-3151-41E5-AA60-6E49E8F8F26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22" authorId="0" shapeId="0" xr:uid="{7480CC2A-B6A7-442B-BA20-794DE7AE23D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22" authorId="0" shapeId="0" xr:uid="{14DE314A-99EE-477C-9A54-24DA050D4B7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22" authorId="0" shapeId="0" xr:uid="{2FC6F3E5-D7B3-4213-A804-26AB7370861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22" authorId="0" shapeId="0" xr:uid="{D3E1EF00-B4BA-449D-9292-73B36C38775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22" authorId="0" shapeId="0" xr:uid="{EEAB1237-8512-46CF-9B48-4B69F964723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23" authorId="0" shapeId="0" xr:uid="{9DD9CA95-92F2-4BD4-9DE9-0FEF8AD62F8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223" authorId="0" shapeId="0" xr:uid="{3A57EC2A-A248-462D-A700-9748A677E2A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223" authorId="0" shapeId="0" xr:uid="{7E2FCFF1-E2DD-4450-A119-95AEDB648F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223" authorId="0" shapeId="0" xr:uid="{62722C09-7D5C-4D17-9C21-CF271FC1D84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223" authorId="0" shapeId="0" xr:uid="{A4B13241-FFD7-4D0E-B313-65FD917733B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224" authorId="0" shapeId="0" xr:uid="{54ED5D30-8107-4832-9842-5F71CBCD1C3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224" authorId="0" shapeId="0" xr:uid="{52F22718-CE13-48A5-A56A-E781A9AB3CB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224" authorId="0" shapeId="0" xr:uid="{8AD6E2FC-166D-4B9F-A844-7C0E76F1A10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224" authorId="0" shapeId="0" xr:uid="{57F49D2D-40A3-4F9B-99E6-314D7118200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224" authorId="0" shapeId="0" xr:uid="{3CAEA7F7-08F7-4080-BF3B-B9FB9804CE9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225" authorId="0" shapeId="0" xr:uid="{A88AB6D7-9203-40B6-A151-D786DB56736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25" authorId="0" shapeId="0" xr:uid="{6A53CBB3-858A-422C-BD14-BD6D2307071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25" authorId="0" shapeId="0" xr:uid="{D8FCC63F-A577-4657-A170-D39A97F209C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25" authorId="0" shapeId="0" xr:uid="{8FBC8351-B898-4DBA-A127-1E79A641E44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25" authorId="0" shapeId="0" xr:uid="{957D61A6-7EE5-4465-8562-9947A039512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26" authorId="0" shapeId="0" xr:uid="{9389B772-AE94-472B-BDB2-02084301E3D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26" authorId="0" shapeId="0" xr:uid="{CC215534-50A7-4649-A9CA-5BC62A71D74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26" authorId="0" shapeId="0" xr:uid="{82BF73CB-395B-4002-8D31-EB8E51E8FEA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26" authorId="0" shapeId="0" xr:uid="{989C0B09-962A-4B0D-8064-808532915F0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26" authorId="0" shapeId="0" xr:uid="{B0E442CE-26BB-4796-A2C9-7ABBACDA496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27" authorId="0" shapeId="0" xr:uid="{75E3DF62-6BE1-4898-96D9-E18B21F08C4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27" authorId="0" shapeId="0" xr:uid="{AA431B05-7C36-4500-9FDD-A1CEC746DE1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27" authorId="0" shapeId="0" xr:uid="{A69729EA-C0C4-4B5D-A4BA-7853B61B6D5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27" authorId="0" shapeId="0" xr:uid="{E0C61D8A-E6C2-4C78-B781-BCE095F3853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27" authorId="0" shapeId="0" xr:uid="{8F5E3AEA-9D49-44DA-8918-9C2ED50ED16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28" authorId="0" shapeId="0" xr:uid="{D3478726-D814-42C2-B916-9DC50E287BB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28" authorId="0" shapeId="0" xr:uid="{A3088797-49B8-4651-B87E-CAB9DC8A039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28" authorId="0" shapeId="0" xr:uid="{293A4841-CA8F-4EAB-A0DE-18827CE819A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28" authorId="0" shapeId="0" xr:uid="{2F9E45F3-C26E-4069-8A62-50DB051B07A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28" authorId="0" shapeId="0" xr:uid="{C40A5F19-1ED1-435E-89EB-CAF90B29978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29" authorId="0" shapeId="0" xr:uid="{F1C69D57-DDA4-43EB-BB00-C18BB59CC26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29" authorId="0" shapeId="0" xr:uid="{898FFCE1-F18D-4A67-83A5-4DBE496B923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29" authorId="0" shapeId="0" xr:uid="{338FEB89-C38E-451B-8E90-8F1EE47B064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29" authorId="0" shapeId="0" xr:uid="{2EBBA1B0-3E38-4E19-977C-B06E88DA45A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29" authorId="0" shapeId="0" xr:uid="{5A8B4FB3-8839-467B-909D-1E667121308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30" authorId="0" shapeId="0" xr:uid="{E8EF7FA4-F838-4DD7-934E-4A0EEF89E33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230" authorId="0" shapeId="0" xr:uid="{C25D5D6A-4D56-46DC-80C4-54FAD0FC9B5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230" authorId="0" shapeId="0" xr:uid="{0609ADF2-F4CE-487E-BD5F-77447BCDB2F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230" authorId="0" shapeId="0" xr:uid="{29964394-555E-41C0-8B5F-BB569005B6C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230" authorId="0" shapeId="0" xr:uid="{F7FE0E99-707E-4E5D-99F1-C64EC558940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231" authorId="0" shapeId="0" xr:uid="{D22A5109-F4DF-4292-B137-3E5B7B27AD8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231" authorId="0" shapeId="0" xr:uid="{BB99704B-1E85-47A4-AE3C-3BBAA321928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231" authorId="0" shapeId="0" xr:uid="{73B0E5C6-754E-4B2C-80C8-8B2CD5C25F0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231" authorId="0" shapeId="0" xr:uid="{E003E38A-99BD-464B-BC56-A91D82397C2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231" authorId="0" shapeId="0" xr:uid="{3216A9C9-34C4-4D4A-B606-8B927C43A94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232" authorId="0" shapeId="0" xr:uid="{C5002DAD-EF3D-4C36-A104-488C2A1B9CC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32" authorId="0" shapeId="0" xr:uid="{F2C0FDBD-B406-4DD9-A7B3-03509894BB5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32" authorId="0" shapeId="0" xr:uid="{12BE283F-AAFA-45F7-9F11-E5C3B076956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32" authorId="0" shapeId="0" xr:uid="{10A4F65A-B3D2-466E-8494-30CAB2C8033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32" authorId="0" shapeId="0" xr:uid="{18404906-49A3-4108-8B39-FAA68A73014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33" authorId="0" shapeId="0" xr:uid="{A0CAA0D5-FF5B-41C6-A625-BFAE1B5D1E2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33" authorId="0" shapeId="0" xr:uid="{B7928F94-DB12-4AD0-8A39-433D4D3FB9F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33" authorId="0" shapeId="0" xr:uid="{51BFB172-2AA2-4F1E-BB91-438C42854F6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33" authorId="0" shapeId="0" xr:uid="{A4D264A1-BB09-41F0-B4CF-6A3E5FD7471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33" authorId="0" shapeId="0" xr:uid="{47A0F913-5C37-4868-AF14-713C574D567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34" authorId="0" shapeId="0" xr:uid="{E0A6BBE4-D277-4775-9763-E0EDBF3FF43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34" authorId="0" shapeId="0" xr:uid="{E8284905-53A2-4030-BA34-3F986F8CCD1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34" authorId="0" shapeId="0" xr:uid="{293D96AE-F6CE-4ED8-B4B2-21107588391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34" authorId="0" shapeId="0" xr:uid="{FB69E1E2-3BA2-4D7C-9F4A-84B0D3CAE3B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34" authorId="0" shapeId="0" xr:uid="{59C67776-5F26-4751-AAEB-6043A14DBA0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35" authorId="0" shapeId="0" xr:uid="{4F8849FB-826C-4C60-9A1E-6E3E0A0212F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35" authorId="0" shapeId="0" xr:uid="{FD22E0B9-9311-45FF-8640-CBE12F3CA53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35" authorId="0" shapeId="0" xr:uid="{082DE7CC-F88A-4722-9911-432A7CB2400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35" authorId="0" shapeId="0" xr:uid="{06C91EE1-86FE-4012-8DAD-874377CBBEA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35" authorId="0" shapeId="0" xr:uid="{3F80B591-4BD7-4FDC-B02B-B7E43849A79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36" authorId="0" shapeId="0" xr:uid="{8A235F15-4E0E-4533-B6BB-0F26942D5E8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36" authorId="0" shapeId="0" xr:uid="{039FEEE3-E6C5-4AFA-B036-2A7A3816E63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36" authorId="0" shapeId="0" xr:uid="{72899839-7054-4EE9-A3B0-7045A0518ED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36" authorId="0" shapeId="0" xr:uid="{465572D1-172D-403D-A119-C8ADA02F3ED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36" authorId="0" shapeId="0" xr:uid="{4A06166B-C6A7-4DBD-8A99-46E29FD37CF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37" authorId="0" shapeId="0" xr:uid="{1829F33C-789E-4A02-BB1A-F1AB196BD49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237" authorId="0" shapeId="0" xr:uid="{E9C66995-6E89-4E9D-9BD4-67FFE693A85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237" authorId="0" shapeId="0" xr:uid="{ED3FC4EE-B6CC-43FF-BF05-95308E50225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237" authorId="0" shapeId="0" xr:uid="{3BAB0162-C802-4A1F-B652-E67FD324BEC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237" authorId="0" shapeId="0" xr:uid="{98652781-D688-4705-B8A1-A47E4773185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238" authorId="0" shapeId="0" xr:uid="{DD94580B-3D4B-472E-A2BC-22849DF4599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238" authorId="0" shapeId="0" xr:uid="{3413EFA5-D129-4795-BA73-D1FBAA71A48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238" authorId="0" shapeId="0" xr:uid="{977E3139-C99A-42D8-A0D0-13FB44333E9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238" authorId="0" shapeId="0" xr:uid="{60FD5910-8576-4D3E-BBBF-FD0F16A83A2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238" authorId="0" shapeId="0" xr:uid="{0ECC872C-E32A-489D-AA46-B951FFD3C78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239" authorId="0" shapeId="0" xr:uid="{ED8076D4-C545-43A6-B00F-5599D0896C9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39" authorId="0" shapeId="0" xr:uid="{87D38179-748E-4A16-9B08-E78F56604E5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</t>
        </r>
      </text>
    </comment>
    <comment ref="D239" authorId="0" shapeId="0" xr:uid="{E40732C1-2177-4D86-A349-045A884AA48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39" authorId="0" shapeId="0" xr:uid="{517BF87F-4B5E-4E16-8D20-6BE2ABF6341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39" authorId="0" shapeId="0" xr:uid="{FF2A8CD1-9B38-47C0-9AB7-B32BFB1CE9E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40" authorId="0" shapeId="0" xr:uid="{D6915622-1F58-4168-9ACE-5A4938C303F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40" authorId="0" shapeId="0" xr:uid="{509C1B03-04E9-42B7-BE99-28F7C548981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</t>
        </r>
      </text>
    </comment>
    <comment ref="D240" authorId="0" shapeId="0" xr:uid="{D227DE8B-2D01-442B-8373-04C00FA61EC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40" authorId="0" shapeId="0" xr:uid="{B118B6DC-593D-4B92-84FB-DD2BA9FB067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40" authorId="0" shapeId="0" xr:uid="{F8EC3D1A-7F65-4CBC-88BB-AD8C4326906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41" authorId="0" shapeId="0" xr:uid="{0A9954B1-0F67-4A8E-9BC3-D1897C66939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41" authorId="0" shapeId="0" xr:uid="{ADD930F4-2EB3-42E9-A579-FC2C9FC9A16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</t>
        </r>
      </text>
    </comment>
    <comment ref="D241" authorId="0" shapeId="0" xr:uid="{6A968967-3C7A-4390-B2C1-E42B329636A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41" authorId="0" shapeId="0" xr:uid="{B0A6D2E6-99B2-465D-8F9F-CFC33662AC1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41" authorId="0" shapeId="0" xr:uid="{4C0B54B4-CCC0-452D-81B6-050F4B2EB29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42" authorId="0" shapeId="0" xr:uid="{D8812D5A-0B18-4645-828F-FD4F40E4964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42" authorId="0" shapeId="0" xr:uid="{B6F79728-5226-43D2-A490-5970049A12C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</t>
        </r>
      </text>
    </comment>
    <comment ref="D242" authorId="0" shapeId="0" xr:uid="{FE2D53E1-EB6D-4CFD-83B3-FFFA522BC3C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42" authorId="0" shapeId="0" xr:uid="{EB37557C-C71F-4DD0-B5FD-DB7D8D9B2B9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42" authorId="0" shapeId="0" xr:uid="{0836ED9C-AF76-47E7-A1F2-2C02E986C9A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43" authorId="0" shapeId="0" xr:uid="{E07C125A-4F4E-4A31-91AC-C20DCE4AD71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43" authorId="0" shapeId="0" xr:uid="{B079AF02-BDF3-4DC9-86B0-C487B98B084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</t>
        </r>
      </text>
    </comment>
    <comment ref="D243" authorId="0" shapeId="0" xr:uid="{D2986B53-7115-4462-AC62-39C2D2EC4F1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43" authorId="0" shapeId="0" xr:uid="{3F92A15E-266D-4119-9B63-9FC70B399B9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43" authorId="0" shapeId="0" xr:uid="{8BBE3854-D237-4EEC-B32C-BB770D1F0DA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44" authorId="0" shapeId="0" xr:uid="{BD2D522F-3FD8-43D8-85B3-C40A8310A5A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244" authorId="0" shapeId="0" xr:uid="{95247C55-24CD-468B-B0F2-A8346098F12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244" authorId="0" shapeId="0" xr:uid="{539591DE-2DCA-45B8-9687-290E8F179AD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244" authorId="0" shapeId="0" xr:uid="{9CF8A7F8-35CA-4ACB-86AA-79FAB6767AE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244" authorId="0" shapeId="0" xr:uid="{EF07F479-F121-47F6-BC29-36AB91D2D96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245" authorId="0" shapeId="0" xr:uid="{CBBBAA4B-E946-4264-B102-0B33DB34390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14&gt;16</t>
        </r>
      </text>
    </comment>
    <comment ref="C245" authorId="0" shapeId="0" xr:uid="{0331263B-73DC-4EFD-B5C5-437636CAE7E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15&gt;17</t>
        </r>
      </text>
    </comment>
    <comment ref="D245" authorId="0" shapeId="0" xr:uid="{12C86BB0-CFEA-4AEC-A086-787ED2071C2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19&gt;24</t>
        </r>
      </text>
    </comment>
    <comment ref="E245" authorId="0" shapeId="0" xr:uid="{ED69C0AF-A1B0-4D45-BF49-2F1D46E6592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20&gt;25</t>
        </r>
      </text>
    </comment>
    <comment ref="F245" authorId="0" shapeId="0" xr:uid="{DFD9FD3D-AB72-445C-B149-251312E4112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22&gt;30</t>
        </r>
      </text>
    </comment>
    <comment ref="B246" authorId="0" shapeId="0" xr:uid="{75EF25A4-086F-482E-942B-3C49BC92C25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46" authorId="0" shapeId="0" xr:uid="{AD47D87D-4F02-43BF-8F42-A946350F9F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46" authorId="0" shapeId="0" xr:uid="{3823B064-D63F-41CA-929A-A4EE840577A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46" authorId="0" shapeId="0" xr:uid="{2AAD8596-3083-47AE-9218-82D08C9BC03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46" authorId="0" shapeId="0" xr:uid="{F42EA7A7-87B0-415A-B5F0-2F88DE4213F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47" authorId="0" shapeId="0" xr:uid="{13D8B7BA-B6C3-4913-9103-C6AFB8A4009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47" authorId="0" shapeId="0" xr:uid="{9C70603D-35FB-4D20-B5E1-7B7F0CB8DF4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47" authorId="0" shapeId="0" xr:uid="{D20B529E-A738-4008-91B3-E70E4FA80E6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47" authorId="0" shapeId="0" xr:uid="{EA95346C-0A53-4126-87A2-E2EFACC8F4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47" authorId="0" shapeId="0" xr:uid="{ED42357F-B7FA-40FE-BA0D-C629CC1444F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B248" authorId="0" shapeId="0" xr:uid="{251AD110-22D4-4251-ACE7-38F75E28D4A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11 &gt;14</t>
        </r>
      </text>
    </comment>
    <comment ref="C248" authorId="0" shapeId="0" xr:uid="{DD2E1D53-4B5E-4F6C-8A6B-8ED853DC950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12&gt;15</t>
        </r>
      </text>
    </comment>
    <comment ref="D248" authorId="0" shapeId="0" xr:uid="{03F5D3EB-739F-4EC0-8956-6D0D8DAE95B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14&gt;19</t>
        </r>
      </text>
    </comment>
    <comment ref="E248" authorId="0" shapeId="0" xr:uid="{DF0860DC-4B9C-4BDE-99CE-4D902600F89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1/15 15&gt;21</t>
        </r>
      </text>
    </comment>
    <comment ref="F248" authorId="0" shapeId="0" xr:uid="{CA3AD0A2-5785-4E9E-BDC3-0D1D657DD93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
1/15 17&gt;24</t>
        </r>
      </text>
    </comment>
    <comment ref="C249" authorId="0" shapeId="0" xr:uid="{A6693714-CE6F-431C-A3D4-153E3914143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</t>
        </r>
      </text>
    </comment>
    <comment ref="E249" authorId="0" shapeId="0" xr:uid="{9C16FCA9-D94C-436D-A036-A33CD7A2476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15&gt;21</t>
        </r>
      </text>
    </comment>
    <comment ref="C250" authorId="0" shapeId="0" xr:uid="{38854F34-F018-472B-AB5D-0BB96E72824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</t>
        </r>
      </text>
    </comment>
    <comment ref="E250" authorId="0" shapeId="0" xr:uid="{EC287B5D-F533-4DD8-8E94-8AD373675E7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15&gt;21</t>
        </r>
      </text>
    </comment>
    <comment ref="C251" authorId="0" shapeId="0" xr:uid="{3102218F-8ABD-4A6C-879F-B76EF013244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15&gt;17</t>
        </r>
      </text>
    </comment>
    <comment ref="E251" authorId="0" shapeId="0" xr:uid="{2799FFF0-DA1A-4E10-B54F-960F42F9B63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20&gt;25</t>
        </r>
      </text>
    </comment>
    <comment ref="B252" authorId="0" shapeId="0" xr:uid="{F23A6348-E771-4565-AEEE-92E33B3DAE2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14&gt;16</t>
        </r>
      </text>
    </comment>
    <comment ref="C252" authorId="0" shapeId="0" xr:uid="{6F4F0BC4-41DB-40A8-87E0-43C9155EBCF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15&gt;17</t>
        </r>
      </text>
    </comment>
    <comment ref="E252" authorId="0" shapeId="0" xr:uid="{4A739F8B-821C-4369-B660-9218B13EDA3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21&gt;25</t>
        </r>
      </text>
    </comment>
    <comment ref="B253" authorId="0" shapeId="0" xr:uid="{B9D3BAA3-252F-437E-AD62-6724FE2F223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12&gt;14
</t>
        </r>
      </text>
    </comment>
    <comment ref="C253" authorId="0" shapeId="0" xr:uid="{38CC4F63-6B25-4D13-A4AC-1E31EB8BAB9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13&gt;15</t>
        </r>
      </text>
    </comment>
    <comment ref="E253" authorId="0" shapeId="0" xr:uid="{8EF27842-2697-40DC-8678-52BBCA41631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16&gt;21</t>
        </r>
      </text>
    </comment>
    <comment ref="B254" authorId="0" shapeId="0" xr:uid="{F73E7CD4-22BB-4F1F-AA72-1B60C0DC8B7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12&gt;14
</t>
        </r>
      </text>
    </comment>
    <comment ref="C254" authorId="0" shapeId="0" xr:uid="{DF78A9A4-1A42-4433-9843-73325EC662F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13&gt;15</t>
        </r>
      </text>
    </comment>
    <comment ref="E254" authorId="0" shapeId="0" xr:uid="{078CBE71-2F46-4911-9A02-18BDF5861DF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16&gt;21</t>
        </r>
      </text>
    </comment>
    <comment ref="B255" authorId="0" shapeId="0" xr:uid="{63E27C2B-678C-42B1-90C5-EDBDEBB2847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12&gt;14
</t>
        </r>
      </text>
    </comment>
    <comment ref="C255" authorId="0" shapeId="0" xr:uid="{7AF5B6B2-B918-4662-9D63-28AEE395854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13&gt;15</t>
        </r>
      </text>
    </comment>
    <comment ref="E255" authorId="0" shapeId="0" xr:uid="{ACD2B1C6-AAF4-44CC-B878-4143F3D3015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16&gt;21</t>
        </r>
      </text>
    </comment>
    <comment ref="C256" authorId="0" shapeId="0" xr:uid="{1D12FC25-6ADF-43C0-B3BE-1523F3B1ECD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13&gt;15</t>
        </r>
      </text>
    </comment>
    <comment ref="D256" authorId="0" shapeId="0" xr:uid="{CA62814D-EC8B-4D71-BB23-ED60E2654D3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15&gt;19</t>
        </r>
      </text>
    </comment>
    <comment ref="E256" authorId="0" shapeId="0" xr:uid="{A8AAC0E0-AA38-45B9-9F02-21AADBD9B1A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16&gt;21</t>
        </r>
      </text>
    </comment>
    <comment ref="B257" authorId="0" shapeId="0" xr:uid="{1DFCF654-532A-434E-8294-8CE0B372F92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12&gt;14
</t>
        </r>
      </text>
    </comment>
    <comment ref="C257" authorId="0" shapeId="0" xr:uid="{945AB74E-4E51-4B71-A2A1-5BC2B2BCB32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13&gt;15</t>
        </r>
      </text>
    </comment>
    <comment ref="D257" authorId="0" shapeId="0" xr:uid="{1B36B9D8-48A0-49FD-8B0D-83286E70570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15&gt;19</t>
        </r>
      </text>
    </comment>
    <comment ref="E257" authorId="0" shapeId="0" xr:uid="{DBAE63FC-F2AF-474A-B3CF-E4830AECCDA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16&gt;21</t>
        </r>
      </text>
    </comment>
    <comment ref="B258" authorId="0" shapeId="0" xr:uid="{E2D375F7-637F-4913-91C9-7F5CC0A8E4D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14&gt;16</t>
        </r>
      </text>
    </comment>
    <comment ref="C258" authorId="0" shapeId="0" xr:uid="{C20E9A2F-2BCB-4E16-8E72-3A1260691CA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15&gt;17</t>
        </r>
      </text>
    </comment>
    <comment ref="D258" authorId="0" shapeId="0" xr:uid="{5519F743-BBA4-486C-A63A-ACB280A5E34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21&gt;24</t>
        </r>
      </text>
    </comment>
    <comment ref="E258" authorId="0" shapeId="0" xr:uid="{04B008CE-D518-4481-BEF8-06281CE1D57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22&gt;25</t>
        </r>
      </text>
    </comment>
    <comment ref="B259" authorId="0" shapeId="0" xr:uid="{C964CF64-1FFC-4F90-99E3-5652BAC9CED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14&gt;16</t>
        </r>
      </text>
    </comment>
    <comment ref="C259" authorId="0" shapeId="0" xr:uid="{1CACED1F-037B-470B-9A30-B09E06A647D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16&gt;17</t>
        </r>
      </text>
    </comment>
    <comment ref="D259" authorId="0" shapeId="0" xr:uid="{A74252C5-09BA-430C-9CEF-D2A7EF0ED19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21&gt;24</t>
        </r>
      </text>
    </comment>
    <comment ref="E259" authorId="0" shapeId="0" xr:uid="{B651ADBC-D1E4-4530-8C69-E4A73C5B29E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22&gt;25</t>
        </r>
      </text>
    </comment>
    <comment ref="C260" authorId="0" shapeId="0" xr:uid="{8AC9A3A9-98DB-457D-8558-52BE7905C32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</t>
        </r>
      </text>
    </comment>
    <comment ref="D260" authorId="0" shapeId="0" xr:uid="{5463571D-9B15-4B46-9B11-DCC6BD7777A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15&gt;19</t>
        </r>
      </text>
    </comment>
    <comment ref="E260" authorId="0" shapeId="0" xr:uid="{D887DF00-0FA3-4B10-9320-A4FC8CED533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16&gt;21</t>
        </r>
      </text>
    </comment>
    <comment ref="C261" authorId="0" shapeId="0" xr:uid="{D2C7740F-27EF-4502-9617-2A21D13B02C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</t>
        </r>
      </text>
    </comment>
    <comment ref="D261" authorId="0" shapeId="0" xr:uid="{9BC7535E-1A81-4367-88CF-D05A5C77468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15&gt;19</t>
        </r>
      </text>
    </comment>
    <comment ref="E261" authorId="0" shapeId="0" xr:uid="{C15B13DD-10B8-4142-92BB-310FBBE3211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16&gt;21</t>
        </r>
      </text>
    </comment>
    <comment ref="C262" authorId="0" shapeId="0" xr:uid="{6F52911C-F904-42F0-A2DF-EBA3310CD5F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</t>
        </r>
      </text>
    </comment>
    <comment ref="D262" authorId="0" shapeId="0" xr:uid="{D3CCD639-16F6-4C41-9A04-323C7CB30CD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15&gt;19</t>
        </r>
      </text>
    </comment>
    <comment ref="E262" authorId="0" shapeId="0" xr:uid="{A968898D-E310-4FB3-B5BE-B24A3169E8F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16&gt;21</t>
        </r>
      </text>
    </comment>
    <comment ref="B263" authorId="0" shapeId="0" xr:uid="{530E25B8-47B7-46A2-B57B-E4886DCDAC6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12&gt;14
</t>
        </r>
      </text>
    </comment>
    <comment ref="C263" authorId="0" shapeId="0" xr:uid="{716ECCD2-138C-4E10-A250-E0C2C87C84A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</t>
        </r>
      </text>
    </comment>
    <comment ref="D263" authorId="0" shapeId="0" xr:uid="{7FCC911A-BEB5-4822-B8EA-5D4D81B26DF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15&gt;19</t>
        </r>
      </text>
    </comment>
    <comment ref="E263" authorId="0" shapeId="0" xr:uid="{C76624AB-7347-4E60-87DA-BF1910729AA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16&gt;21</t>
        </r>
      </text>
    </comment>
    <comment ref="B264" authorId="0" shapeId="0" xr:uid="{AAD74C9B-3E6F-4445-AA66-AC5686FA6D1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64" authorId="0" shapeId="0" xr:uid="{1E28B8AF-3891-4380-A457-17BBC540757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64" authorId="0" shapeId="0" xr:uid="{F0B006FC-85ED-4529-B7FF-608742B5247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64" authorId="0" shapeId="0" xr:uid="{4E9F3A7E-30A1-44B2-8174-B6F81EF556D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64" authorId="0" shapeId="0" xr:uid="{2ECD72CE-B3CF-46C5-AD06-CCA5407603E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65" authorId="0" shapeId="0" xr:uid="{93889D4F-11D9-4DF2-B817-128D2FE2F46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14&gt;16</t>
        </r>
      </text>
    </comment>
    <comment ref="C265" authorId="0" shapeId="0" xr:uid="{0D97A8E7-B0F7-4E6A-92D7-4C09EBF7D3D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15&gt;17
</t>
        </r>
      </text>
    </comment>
    <comment ref="D265" authorId="0" shapeId="0" xr:uid="{8ED91C55-4AD1-4AB7-A923-991817CFEEF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21&gt;24</t>
        </r>
      </text>
    </comment>
    <comment ref="E265" authorId="0" shapeId="0" xr:uid="{1DF6D3AD-CD25-4CB3-948B-7B9397B4FF6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22&gt;25</t>
        </r>
      </text>
    </comment>
    <comment ref="F265" authorId="0" shapeId="0" xr:uid="{2945FF6D-C8B1-4E96-9B7B-EF48CE0D6D2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24&gt;30</t>
        </r>
      </text>
    </comment>
    <comment ref="B266" authorId="0" shapeId="0" xr:uid="{1C321993-2E3A-408D-9B6B-2CD4758187F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14&gt;16</t>
        </r>
      </text>
    </comment>
    <comment ref="C266" authorId="0" shapeId="0" xr:uid="{1079610C-1BA7-4658-9CBE-B88637B8694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15&gt;17
</t>
        </r>
      </text>
    </comment>
    <comment ref="D266" authorId="0" shapeId="0" xr:uid="{97DAEDF9-F132-4F8C-BAAB-F92BC70B652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21&gt;24</t>
        </r>
      </text>
    </comment>
    <comment ref="E266" authorId="0" shapeId="0" xr:uid="{E68A7C64-7433-460B-89A1-9E3E4618EAD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22&gt;25</t>
        </r>
      </text>
    </comment>
    <comment ref="F266" authorId="0" shapeId="0" xr:uid="{125ED2B8-ABDF-4F8B-9651-2CE2046383A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24&gt;30</t>
        </r>
      </text>
    </comment>
    <comment ref="B267" authorId="0" shapeId="0" xr:uid="{80406F45-1018-4D48-BB46-CE25BE98F28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67" authorId="0" shapeId="0" xr:uid="{E4B5F9A4-93FA-41BD-8B0E-A7907031D95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67" authorId="0" shapeId="0" xr:uid="{DDE881B8-63BE-4D22-A82B-BE1843229E6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67" authorId="0" shapeId="0" xr:uid="{6092B385-B6D5-43B8-8E63-0DF531E22F0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67" authorId="0" shapeId="0" xr:uid="{5297F60C-F5E8-4B11-AB15-4C026DB5D53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68" authorId="0" shapeId="0" xr:uid="{225F31F0-D79C-487D-B860-0A9ACAB9E3C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68" authorId="0" shapeId="0" xr:uid="{35824E6F-8CC8-4BC1-BFBE-007D6CC182C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68" authorId="0" shapeId="0" xr:uid="{5BCFC882-5659-48B7-B31C-24C55608E62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68" authorId="0" shapeId="0" xr:uid="{2DD7876B-667F-45BF-9468-A7627E33BF2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68" authorId="0" shapeId="0" xr:uid="{C71CF62D-B839-48DB-9FD2-FA877A286F7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69" authorId="0" shapeId="0" xr:uid="{709AD06B-9E11-43A0-9BA8-98217701D48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69" authorId="0" shapeId="0" xr:uid="{CA32AA21-1986-4FC7-8E19-9E0818A52B9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69" authorId="0" shapeId="0" xr:uid="{98FDFCA4-67BB-4CE2-95CA-41A7318619A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69" authorId="0" shapeId="0" xr:uid="{64BCA56C-4E14-4924-A37B-2B95632D221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69" authorId="0" shapeId="0" xr:uid="{E71F1487-F30B-4E4E-8BFC-077F14172A5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70" authorId="0" shapeId="0" xr:uid="{D2C39811-8EDA-4D39-95C9-1EED67980C6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70" authorId="0" shapeId="0" xr:uid="{306311DB-FF5F-4327-B054-254DEF9577B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70" authorId="0" shapeId="0" xr:uid="{C691B2BC-B692-4ABD-A012-3AEA423F5CD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70" authorId="0" shapeId="0" xr:uid="{6402E6EB-34B8-427B-99A9-63DC8609EC1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70" authorId="0" shapeId="0" xr:uid="{4296FE5C-6390-4A34-B76F-D37A3221360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71" authorId="0" shapeId="0" xr:uid="{E725EDE1-FD85-464D-B832-620A71CC25C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71" authorId="0" shapeId="0" xr:uid="{09DF7404-7651-4B6F-8C81-4523F920F4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71" authorId="0" shapeId="0" xr:uid="{10BE5D81-BAEB-4119-BF64-9DFF32F277D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71" authorId="0" shapeId="0" xr:uid="{ABA6F82F-5C9A-481D-924A-B6B3224CDF4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71" authorId="0" shapeId="0" xr:uid="{69214F73-E249-43C7-ABEF-6AF4EBABD1A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72" authorId="0" shapeId="0" xr:uid="{C2C0AE6B-2498-4AE8-B12E-E7B5E11B907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14&gt;16</t>
        </r>
      </text>
    </comment>
    <comment ref="C272" authorId="0" shapeId="0" xr:uid="{A605C84F-B99D-40F8-8914-EE099CAEEB2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15&gt;17
</t>
        </r>
      </text>
    </comment>
    <comment ref="D272" authorId="0" shapeId="0" xr:uid="{D0C07933-2914-4CAC-8AC0-4481D53FBC6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21&gt;24</t>
        </r>
      </text>
    </comment>
    <comment ref="E272" authorId="0" shapeId="0" xr:uid="{67E34842-1482-43F9-A9EE-C1DB1AA0649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22&gt;25</t>
        </r>
      </text>
    </comment>
    <comment ref="F272" authorId="0" shapeId="0" xr:uid="{702B0507-A369-49DB-91AE-18A31625C7F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24&gt;30</t>
        </r>
      </text>
    </comment>
    <comment ref="B273" authorId="0" shapeId="0" xr:uid="{81D27838-4844-4FC3-9DDA-24AE1941C31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14&gt;16</t>
        </r>
      </text>
    </comment>
    <comment ref="C273" authorId="0" shapeId="0" xr:uid="{A88AD693-9B34-48AF-83D3-951F5D6BAB1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15&gt;17
</t>
        </r>
      </text>
    </comment>
    <comment ref="D273" authorId="0" shapeId="0" xr:uid="{0A22B43C-FD20-4810-88D7-5FF5731BE03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21&gt;24</t>
        </r>
      </text>
    </comment>
    <comment ref="E273" authorId="0" shapeId="0" xr:uid="{1A0A430E-F62E-452B-8536-0975DFE27DE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22&gt;25</t>
        </r>
      </text>
    </comment>
    <comment ref="F273" authorId="0" shapeId="0" xr:uid="{DA5D7F95-03E5-4B93-AB4E-5F527AEA10D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24&gt;30</t>
        </r>
      </text>
    </comment>
    <comment ref="B274" authorId="0" shapeId="0" xr:uid="{A6140BD6-D0EA-477E-B8CB-C56C4672F16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74" authorId="0" shapeId="0" xr:uid="{D202006C-D96F-4E7E-B8D9-D585FDA4D22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74" authorId="0" shapeId="0" xr:uid="{F6DAE685-6A57-47F4-86E7-86C85DF9871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74" authorId="0" shapeId="0" xr:uid="{0E4199AF-58AF-4CB7-9C1E-638558B065B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74" authorId="0" shapeId="0" xr:uid="{9E670731-F4D4-4B2B-836D-65786E94C45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75" authorId="0" shapeId="0" xr:uid="{B33AA860-E40C-472A-A67F-AA354926286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75" authorId="0" shapeId="0" xr:uid="{CFA84527-AD93-4C6E-9EC6-B16F30B332E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75" authorId="0" shapeId="0" xr:uid="{75E8ECC5-BC38-4025-9611-074866D0D22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75" authorId="0" shapeId="0" xr:uid="{E51662A5-76FD-4865-9008-3709DE96475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75" authorId="0" shapeId="0" xr:uid="{88B1AFF0-A8DB-40A8-AEEA-0E811BD1FAA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76" authorId="0" shapeId="0" xr:uid="{C80F3249-91C4-4BD7-9C85-3E4AF7CF9C5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76" authorId="0" shapeId="0" xr:uid="{82837AD0-5422-441A-B3BD-190D77BF992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76" authorId="0" shapeId="0" xr:uid="{A5B8A27E-2F3F-4AFE-8BDA-0B8294477FA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76" authorId="0" shapeId="0" xr:uid="{40728C54-185C-44C7-B2EA-F37BCC32CA5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76" authorId="0" shapeId="0" xr:uid="{2713868F-1E51-4680-9190-CC342D078BD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77" authorId="0" shapeId="0" xr:uid="{52E30893-51FC-4898-A9B8-CB88DA1F7F7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77" authorId="0" shapeId="0" xr:uid="{F0D4C2B4-5CD6-40C3-ABF3-6F6DC8C4F84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77" authorId="0" shapeId="0" xr:uid="{EF46CA1D-BD99-46A5-96FE-4267EFBEE16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77" authorId="0" shapeId="0" xr:uid="{2469B06B-F4C3-4536-AB45-E0186E99346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77" authorId="0" shapeId="0" xr:uid="{A2562677-27D5-41A6-ADBD-BAA8CC673AA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78" authorId="0" shapeId="0" xr:uid="{23B86E5B-EF4F-457B-BE1F-8CC3BF79A66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78" authorId="0" shapeId="0" xr:uid="{998CC46A-6078-46DA-BAE2-B4F07F6E02E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78" authorId="0" shapeId="0" xr:uid="{E8C28734-BA3C-47DC-B897-1ADC8C4FA6E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78" authorId="0" shapeId="0" xr:uid="{AB957094-48AE-416C-962E-57319A07D9B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78" authorId="0" shapeId="0" xr:uid="{BD45F6BC-5438-45DF-B03E-0A72375C701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79" authorId="0" shapeId="0" xr:uid="{A1FE9464-EC59-4DEF-82DE-DABCC2E2DF8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14&gt;16</t>
        </r>
      </text>
    </comment>
    <comment ref="C279" authorId="0" shapeId="0" xr:uid="{CE0560EB-7E34-4EDB-9D8E-A6C4A316513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15&gt;17
</t>
        </r>
      </text>
    </comment>
    <comment ref="D279" authorId="0" shapeId="0" xr:uid="{4BA3AC38-1A7E-4CCA-88FA-43D46A7B789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21&gt;24</t>
        </r>
      </text>
    </comment>
    <comment ref="E279" authorId="0" shapeId="0" xr:uid="{830654D4-ED93-4801-A809-A2A7722C785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22&gt;25</t>
        </r>
      </text>
    </comment>
    <comment ref="F279" authorId="0" shapeId="0" xr:uid="{5923FB90-A8FC-4C86-A8AF-8E6C0E52255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24&gt;30</t>
        </r>
      </text>
    </comment>
    <comment ref="B280" authorId="0" shapeId="0" xr:uid="{A191EA00-DFC1-4F06-A5C5-B9BDDD17F2F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14&gt;16</t>
        </r>
      </text>
    </comment>
    <comment ref="C280" authorId="0" shapeId="0" xr:uid="{C9B5CFAD-2F0D-4E9A-9DA0-2771A29FF9C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15&gt;17
</t>
        </r>
      </text>
    </comment>
    <comment ref="D280" authorId="0" shapeId="0" xr:uid="{42354902-2641-4542-8446-440E47FC536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21&gt;24</t>
        </r>
      </text>
    </comment>
    <comment ref="E280" authorId="0" shapeId="0" xr:uid="{B8028817-7C48-438E-845D-002D48A34B6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22&gt;25</t>
        </r>
      </text>
    </comment>
    <comment ref="F280" authorId="0" shapeId="0" xr:uid="{E90A77B6-8FF9-4685-9072-DF2E40A290A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24&gt;30</t>
        </r>
      </text>
    </comment>
    <comment ref="B281" authorId="0" shapeId="0" xr:uid="{9DE56605-349E-435E-AC4F-F3833B54908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81" authorId="0" shapeId="0" xr:uid="{3128765D-DC05-4119-948C-16798F130DB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81" authorId="0" shapeId="0" xr:uid="{859E16E2-A794-43CC-93C0-61E16D3AF28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81" authorId="0" shapeId="0" xr:uid="{C0320B6A-2A6C-452D-A699-CB9629F0FB5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81" authorId="0" shapeId="0" xr:uid="{602E607C-4A20-4210-9477-A6143760FC4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82" authorId="0" shapeId="0" xr:uid="{E1328026-0DF7-49F6-8D11-E4E64AF16C5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82" authorId="0" shapeId="0" xr:uid="{E491A3B0-FC23-4CFB-9AA4-3523B7B9650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82" authorId="0" shapeId="0" xr:uid="{03C613A9-E835-4EC4-9729-972F88B4D23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82" authorId="0" shapeId="0" xr:uid="{DD0D5671-AEC5-47E2-AEC7-4534604CC73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82" authorId="0" shapeId="0" xr:uid="{7D3224DD-4D2B-49DA-B0AB-8EFDD11C492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83" authorId="0" shapeId="0" xr:uid="{61D19B0F-3B5A-492D-BEE9-97B7684A5CB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83" authorId="0" shapeId="0" xr:uid="{FDFD877D-EBC2-4AC5-8319-E1EE264FA02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83" authorId="0" shapeId="0" xr:uid="{650E4C8C-E1AD-4DEE-BDD9-B14DD4256F5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83" authorId="0" shapeId="0" xr:uid="{8E09D6CB-11F3-4130-B862-0475999D1A7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83" authorId="0" shapeId="0" xr:uid="{66481742-52AB-4FC5-9966-5E35255F2BE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84" authorId="0" shapeId="0" xr:uid="{66702453-7FE4-428A-8FC8-DDF9297C288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84" authorId="0" shapeId="0" xr:uid="{4BDAACE3-BA58-42A9-8739-2426AAA3F7E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84" authorId="0" shapeId="0" xr:uid="{3FCCF9AD-D1CF-4320-BE1D-93AF8F073F4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84" authorId="0" shapeId="0" xr:uid="{CCA44638-F75E-4650-920A-1C1E113A1E6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84" authorId="0" shapeId="0" xr:uid="{E77184D1-C09C-496D-8E51-DAADB542F4B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85" authorId="0" shapeId="0" xr:uid="{5B07898B-C006-4AF7-9B8B-AB6CBD1DAA6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85" authorId="0" shapeId="0" xr:uid="{4CE2467E-674D-4A90-9937-3247835CC1E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85" authorId="0" shapeId="0" xr:uid="{EC23B8F3-1D82-409E-9280-521CBE64C04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85" authorId="0" shapeId="0" xr:uid="{6C960E0F-7B32-4FDE-9472-029BACD4E69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85" authorId="0" shapeId="0" xr:uid="{0829AEC2-9D7B-440B-924A-3223D8874E1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86" authorId="0" shapeId="0" xr:uid="{D711C102-FEDD-4C2B-BFF5-1254E4ED94F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14&gt;16</t>
        </r>
      </text>
    </comment>
    <comment ref="C286" authorId="0" shapeId="0" xr:uid="{9BFAE4F2-8F13-428B-A619-F84E572D292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15&gt;17
</t>
        </r>
      </text>
    </comment>
    <comment ref="D286" authorId="0" shapeId="0" xr:uid="{31D9C262-3C9F-41FB-8F5C-3000D37F1FC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21&gt;24</t>
        </r>
      </text>
    </comment>
    <comment ref="E286" authorId="0" shapeId="0" xr:uid="{977C882C-BCB7-48FC-BE4F-3124A195E80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22&gt;25</t>
        </r>
      </text>
    </comment>
    <comment ref="F286" authorId="0" shapeId="0" xr:uid="{F583029E-FA43-406A-AF82-AA8B46AD1AB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24&gt;30</t>
        </r>
      </text>
    </comment>
    <comment ref="B287" authorId="0" shapeId="0" xr:uid="{8E2A85FF-84B0-4584-8411-709981BD511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14&gt;16</t>
        </r>
      </text>
    </comment>
    <comment ref="C287" authorId="0" shapeId="0" xr:uid="{EEA7FCE3-709E-465F-9A06-78625AC15C4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15&gt;17
</t>
        </r>
      </text>
    </comment>
    <comment ref="D287" authorId="0" shapeId="0" xr:uid="{CE39AAED-7F5F-4659-AEB2-96304854FC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21&gt;24</t>
        </r>
      </text>
    </comment>
    <comment ref="E287" authorId="0" shapeId="0" xr:uid="{823FB00D-5FFD-4F5F-B5A3-7AE09DB38B5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22&gt;25</t>
        </r>
      </text>
    </comment>
    <comment ref="F287" authorId="0" shapeId="0" xr:uid="{AA44D876-9145-4751-906A-500EE83B008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24&gt;30</t>
        </r>
      </text>
    </comment>
    <comment ref="B288" authorId="0" shapeId="0" xr:uid="{846B8D07-C540-4D26-A210-6D90ED9057A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88" authorId="0" shapeId="0" xr:uid="{FAA05967-DCEA-4E83-BCBC-A15C9243CEE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88" authorId="0" shapeId="0" xr:uid="{16AD2FE1-6C4B-490C-949D-B77D01FEFA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88" authorId="0" shapeId="0" xr:uid="{DBC08AB5-77AD-424E-92DB-AB315700672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88" authorId="0" shapeId="0" xr:uid="{A9440180-DCB9-4FF6-990C-18F1384088D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89" authorId="0" shapeId="0" xr:uid="{861D0FA0-15A9-451F-8BC1-B065F42249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89" authorId="0" shapeId="0" xr:uid="{649905F6-2A53-44E7-96DF-18431D27CBB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89" authorId="0" shapeId="0" xr:uid="{1E4FB8B5-74A8-4098-B901-9B2AB4A9F04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89" authorId="0" shapeId="0" xr:uid="{7AAC4D3B-C328-439E-B05A-2C92277E223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89" authorId="0" shapeId="0" xr:uid="{B003945B-3777-4C65-9B95-ED5068CF5D3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90" authorId="0" shapeId="0" xr:uid="{2BA22035-6035-48ED-BB3D-9905023A406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90" authorId="0" shapeId="0" xr:uid="{00A3197A-7BD5-4104-A592-E9FFC33DB9E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90" authorId="0" shapeId="0" xr:uid="{B1CBBA3A-1CE6-4B72-8B9F-FBF63D87840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90" authorId="0" shapeId="0" xr:uid="{40637FF6-8F49-44F5-9D88-913CB375BEE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90" authorId="0" shapeId="0" xr:uid="{B6E44D3E-0F18-4CD0-95B4-465D3C65F32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91" authorId="0" shapeId="0" xr:uid="{A393945A-59A9-4374-A62F-D5B3E59DBED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91" authorId="0" shapeId="0" xr:uid="{D238C2A0-F032-4CC2-BC7B-F82BA1E185E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91" authorId="0" shapeId="0" xr:uid="{EFFD1173-AEC5-4FA4-B323-037A0CF7798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91" authorId="0" shapeId="0" xr:uid="{D7B99A9A-6B4F-40F2-AC14-A010380F6AF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91" authorId="0" shapeId="0" xr:uid="{0B9DDC0E-1FED-4180-AD6B-564F818FB88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92" authorId="0" shapeId="0" xr:uid="{18865EFF-3D5B-4E1B-8497-2FCE1A64EA7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92" authorId="0" shapeId="0" xr:uid="{1F7B191C-436B-4B04-8F5F-E0449F1E8AA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92" authorId="0" shapeId="0" xr:uid="{369EA427-CE1E-4C99-82FB-3C936CF613E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92" authorId="0" shapeId="0" xr:uid="{03140536-2178-48B2-81D8-A5220D21358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92" authorId="0" shapeId="0" xr:uid="{B1AB9979-6FEB-4637-96F0-215088F7CB4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93" authorId="0" shapeId="0" xr:uid="{0CAF5623-89C1-42CE-8DA3-37E129298F4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14&gt;16</t>
        </r>
      </text>
    </comment>
    <comment ref="C293" authorId="0" shapeId="0" xr:uid="{54CD7BC5-03B7-40F4-97A5-44BBD30564C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15&gt;17
</t>
        </r>
      </text>
    </comment>
    <comment ref="D293" authorId="0" shapeId="0" xr:uid="{6C453C6F-0003-4566-8EF9-2F499C71569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21&gt;24</t>
        </r>
      </text>
    </comment>
    <comment ref="E293" authorId="0" shapeId="0" xr:uid="{C7E3A59A-180F-4B97-AEBB-FA2298630D1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22&gt;25</t>
        </r>
      </text>
    </comment>
    <comment ref="F293" authorId="0" shapeId="0" xr:uid="{B1CEB61A-42D1-47DE-A591-8D70480CABB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24&gt;30</t>
        </r>
      </text>
    </comment>
    <comment ref="B294" authorId="0" shapeId="0" xr:uid="{AA113540-E5C9-4589-A327-670E647EA30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14&gt;16</t>
        </r>
      </text>
    </comment>
    <comment ref="C294" authorId="0" shapeId="0" xr:uid="{8DBAE051-C913-4BA9-9A89-E92B4E223F4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15&gt;17
</t>
        </r>
      </text>
    </comment>
    <comment ref="D294" authorId="0" shapeId="0" xr:uid="{2A0ED04F-8B10-4241-89EF-AD11334287B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21&gt;24</t>
        </r>
      </text>
    </comment>
    <comment ref="E294" authorId="0" shapeId="0" xr:uid="{BB076A4D-7281-48CC-9693-3167329E75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22&gt;25</t>
        </r>
      </text>
    </comment>
    <comment ref="F294" authorId="0" shapeId="0" xr:uid="{46C70EEC-42AD-4C80-BC21-B9E91F7464C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24&gt;30</t>
        </r>
      </text>
    </comment>
    <comment ref="B295" authorId="0" shapeId="0" xr:uid="{2CB14409-89B0-4725-AF6B-4D38CC042E0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95" authorId="0" shapeId="0" xr:uid="{1D0285A1-46FF-42B5-9499-1FF410491CC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95" authorId="0" shapeId="0" xr:uid="{3C4856D0-5EA4-4204-B9D1-BE8964C8ABC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95" authorId="0" shapeId="0" xr:uid="{225ECC25-CCA9-4272-A629-D2E7FD5652C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95" authorId="0" shapeId="0" xr:uid="{E4B4EF36-FCCA-48D2-88D4-96AD2EA8076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96" authorId="0" shapeId="0" xr:uid="{E77AB69E-D86E-4068-8769-769E7416EE9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96" authorId="0" shapeId="0" xr:uid="{D224E0F7-EC70-41FA-B5A5-370876937A0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96" authorId="0" shapeId="0" xr:uid="{F2F2FD80-E2A9-4222-AB42-1DD847966B5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96" authorId="0" shapeId="0" xr:uid="{ADDC0939-03B2-4EF7-9F13-3236F34841A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96" authorId="0" shapeId="0" xr:uid="{CDB60363-1788-404B-8BBC-5C350B10239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97" authorId="0" shapeId="0" xr:uid="{188DAF1A-A20B-44DB-9C71-949E9897095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97" authorId="0" shapeId="0" xr:uid="{B1B4F36A-201D-42B3-97C3-2320FD08D9F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97" authorId="0" shapeId="0" xr:uid="{5AD83BC7-31D5-44E3-9882-BEEEB59645B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97" authorId="0" shapeId="0" xr:uid="{D352997A-4859-4871-91FF-B9AF4F2C886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97" authorId="0" shapeId="0" xr:uid="{6F3F7E66-0F31-4E7B-8501-542B1C76601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98" authorId="0" shapeId="0" xr:uid="{F14C4C2A-21F3-4ABB-B01B-D8005B9CA3E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98" authorId="0" shapeId="0" xr:uid="{16C91206-89E9-4F15-AC59-C4B36114793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98" authorId="0" shapeId="0" xr:uid="{BEE7CBA9-7C51-4854-9B4E-5CA10672A60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98" authorId="0" shapeId="0" xr:uid="{32DC2F05-E35E-404A-A852-31B36B2AE31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98" authorId="0" shapeId="0" xr:uid="{B129D5E5-8733-468C-8993-85CB2147449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299" authorId="0" shapeId="0" xr:uid="{D4F6C1BF-D9CB-4070-9C35-A3F65BC7E89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299" authorId="0" shapeId="0" xr:uid="{F1486F95-D113-40A9-871B-57656B94DB1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299" authorId="0" shapeId="0" xr:uid="{06402230-9FAB-4C1C-9509-150CD55CE8D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299" authorId="0" shapeId="0" xr:uid="{A0B63935-A6F1-40CA-A895-F76CD55D132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299" authorId="0" shapeId="0" xr:uid="{A5C094FA-2D38-43BA-8735-E15E742FDA3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300" authorId="0" shapeId="0" xr:uid="{7600D410-5653-4DC9-9FA6-3E8246BDF36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14&gt;16</t>
        </r>
      </text>
    </comment>
    <comment ref="C300" authorId="0" shapeId="0" xr:uid="{1DAB8D70-CC10-43C8-B55A-A36C819B0A4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15&gt;17
</t>
        </r>
      </text>
    </comment>
    <comment ref="D300" authorId="0" shapeId="0" xr:uid="{973107BD-D4D8-4747-927A-AABFB182B5F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21&gt;24</t>
        </r>
      </text>
    </comment>
    <comment ref="E300" authorId="0" shapeId="0" xr:uid="{4B6ED6E8-FC97-430E-AB9C-D036708D3D1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22&gt;25</t>
        </r>
      </text>
    </comment>
    <comment ref="F300" authorId="0" shapeId="0" xr:uid="{E911AE6D-4282-4764-84CB-11418CD26CE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24&gt;30</t>
        </r>
      </text>
    </comment>
    <comment ref="B301" authorId="0" shapeId="0" xr:uid="{55704312-AC79-446A-97AD-5AC5729D55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14&gt;16</t>
        </r>
      </text>
    </comment>
    <comment ref="C301" authorId="0" shapeId="0" xr:uid="{5118CCB4-E61C-4016-B86C-1ABA8B360AC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15&gt;17
</t>
        </r>
      </text>
    </comment>
    <comment ref="D301" authorId="0" shapeId="0" xr:uid="{F8A9EE91-37CC-43B1-921D-50E29EE1052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21&gt;24</t>
        </r>
      </text>
    </comment>
    <comment ref="E301" authorId="0" shapeId="0" xr:uid="{C1D73118-010F-4924-B8CA-42D34345BED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22&gt;25</t>
        </r>
      </text>
    </comment>
    <comment ref="F301" authorId="0" shapeId="0" xr:uid="{24357FBC-B8D6-4D76-BD2F-58FA7542057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24&gt;30</t>
        </r>
      </text>
    </comment>
    <comment ref="B302" authorId="0" shapeId="0" xr:uid="{526C0D21-895B-4777-90E9-01E4F8EA7F8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302" authorId="0" shapeId="0" xr:uid="{D4FAB568-A504-4612-997E-F798A008EED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302" authorId="0" shapeId="0" xr:uid="{742700EB-7228-4729-A44E-81989109D48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302" authorId="0" shapeId="0" xr:uid="{CC165221-DA1F-45B0-9749-5B562702433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302" authorId="0" shapeId="0" xr:uid="{A5BD7220-96AF-4383-89B4-507BFB53E67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303" authorId="0" shapeId="0" xr:uid="{AC57E724-2721-4F1B-9987-71C6B691045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303" authorId="0" shapeId="0" xr:uid="{5779288E-39FD-4A38-B6BE-6E6CE738DEB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303" authorId="0" shapeId="0" xr:uid="{44238094-AECC-43B9-9025-7343E57F424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303" authorId="0" shapeId="0" xr:uid="{F9D0F464-2709-47E3-A104-47754378839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303" authorId="0" shapeId="0" xr:uid="{CF34A4A3-C49A-42BA-A827-57D07B854F2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304" authorId="0" shapeId="0" xr:uid="{866EE55B-A2C8-43C3-8431-C86CE2C560C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304" authorId="0" shapeId="0" xr:uid="{64111C7F-7E53-4F15-B4EF-6BCB925012F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304" authorId="0" shapeId="0" xr:uid="{1194E679-BD28-4F4C-AC00-EE31C07EA50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304" authorId="0" shapeId="0" xr:uid="{67036EA8-4F2D-499E-BB58-D7B42858981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304" authorId="0" shapeId="0" xr:uid="{33E46561-8E72-47FA-A931-E6610ABEC5F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305" authorId="0" shapeId="0" xr:uid="{A54A250E-17D1-40B0-B452-9966D6EA079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305" authorId="0" shapeId="0" xr:uid="{F161C318-E361-4FC9-87C2-9199DD46461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305" authorId="0" shapeId="0" xr:uid="{0EE765E6-5675-46C7-890C-83467C261D3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305" authorId="0" shapeId="0" xr:uid="{C8DAD1D3-D9C1-4622-9395-1BD94C225FC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305" authorId="0" shapeId="0" xr:uid="{9950C8A7-D95E-4ADC-AA43-ACFD73BB74E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306" authorId="0" shapeId="0" xr:uid="{18A89416-42F6-4E1E-A7ED-3CE88C8EDA8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10&gt;11
1/16 11&gt;14
</t>
        </r>
      </text>
    </comment>
    <comment ref="C306" authorId="0" shapeId="0" xr:uid="{7FB7B6CF-5F43-4294-B05A-51F26A6E82F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11&gt;12
1/15 12&gt;15</t>
        </r>
      </text>
    </comment>
    <comment ref="D306" authorId="0" shapeId="0" xr:uid="{FE5F0A32-47E8-4640-84F2-8A1C816F08B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13&gt;14
1/16 14&gt;19</t>
        </r>
      </text>
    </comment>
    <comment ref="E306" authorId="0" shapeId="0" xr:uid="{130ED716-313E-415C-B07B-D7C367242A8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1/14 14&gt;15
1/16 15&gt;21</t>
        </r>
      </text>
    </comment>
    <comment ref="F306" authorId="0" shapeId="0" xr:uid="{0842351B-DE26-49D8-AF6F-F5C6DE68B8F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17&gt;24</t>
        </r>
      </text>
    </comment>
    <comment ref="B307" authorId="0" shapeId="0" xr:uid="{D261F2C9-7B1E-4978-B7C8-E4B0D68C232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14&gt;16</t>
        </r>
      </text>
    </comment>
    <comment ref="C307" authorId="0" shapeId="0" xr:uid="{2559E571-AE2E-4CAF-AA54-E4FD377CC70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15&gt;17
</t>
        </r>
      </text>
    </comment>
    <comment ref="D307" authorId="0" shapeId="0" xr:uid="{52F7CEA4-9C9A-4D68-976E-5D59336435E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21&gt;24</t>
        </r>
      </text>
    </comment>
    <comment ref="E307" authorId="0" shapeId="0" xr:uid="{DF06A324-C5A6-4C3A-A70D-E9E138F82FC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1/16 22&gt;25</t>
        </r>
      </text>
    </comment>
    <comment ref="B308" authorId="0" shapeId="0" xr:uid="{2FFC21F1-4270-4556-A201-F889C6CEF60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13&gt;16</t>
        </r>
      </text>
    </comment>
    <comment ref="C308" authorId="0" shapeId="0" xr:uid="{C805EF0D-02AB-46BC-AE34-C974333DE1E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14&gt;17</t>
        </r>
      </text>
    </comment>
    <comment ref="D308" authorId="0" shapeId="0" xr:uid="{326A6A4A-530D-4BDF-B001-9D295FABFB1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20&gt;24</t>
        </r>
      </text>
    </comment>
    <comment ref="E308" authorId="0" shapeId="0" xr:uid="{FDE1E524-87B1-441C-82A3-5D4C5435513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24&gt;25</t>
        </r>
      </text>
    </comment>
    <comment ref="F308" authorId="0" shapeId="0" xr:uid="{B19DE35B-0A20-4C0C-90BA-5A13A21A8E6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23&gt;30</t>
        </r>
      </text>
    </comment>
    <comment ref="B309" authorId="0" shapeId="0" xr:uid="{CB1E828F-ABE8-45C2-84A9-771B595E0D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100,000 &gt; 
110,000
1/15 11&gt; 14</t>
        </r>
      </text>
    </comment>
    <comment ref="C309" authorId="0" shapeId="0" xr:uid="{5D79438A-00B6-40E6-A216-DFEB534F9F5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110,000 &gt; 120,000
1/15 12&gt;15</t>
        </r>
      </text>
    </comment>
    <comment ref="D309" authorId="0" shapeId="0" xr:uid="{88EE815C-818A-41DD-8876-82A14E874E1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309" authorId="0" shapeId="0" xr:uid="{9CF3281D-D57E-47A1-A440-99D106111E2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1/15 15&gt;21</t>
        </r>
      </text>
    </comment>
    <comment ref="F309" authorId="0" shapeId="0" xr:uid="{3A91584B-AC07-441D-A2E2-06FF4DF13AD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170,000
1/15 17&gt;24</t>
        </r>
      </text>
    </comment>
    <comment ref="B310" authorId="0" shapeId="0" xr:uid="{833BE2EB-728E-43B6-AF85-62638DF64C8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100,000 &gt; 
110,000
1/15 11&gt; 14</t>
        </r>
      </text>
    </comment>
    <comment ref="C310" authorId="0" shapeId="0" xr:uid="{8A6FC4D6-7E3F-4956-8015-5F978FEAE44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110,000 &gt; 120,000
1/15 12&gt;15</t>
        </r>
      </text>
    </comment>
    <comment ref="D310" authorId="0" shapeId="0" xr:uid="{2843ACE0-0F1A-45DD-9CD7-CE669BDBFEA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310" authorId="0" shapeId="0" xr:uid="{9A426B31-B09A-4D59-8D87-9A6D09907B0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1/15 15&gt;21</t>
        </r>
      </text>
    </comment>
    <comment ref="F310" authorId="0" shapeId="0" xr:uid="{8132E86E-5909-4920-A69E-D444417EA4A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170,000
1/15 17&gt;24</t>
        </r>
      </text>
    </comment>
    <comment ref="B311" authorId="0" shapeId="0" xr:uid="{BABDC118-E370-4437-9ECF-E21ACDB9780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100,000 &gt; 
110,000
1/15 11&gt; 14</t>
        </r>
      </text>
    </comment>
    <comment ref="C311" authorId="0" shapeId="0" xr:uid="{F010E82D-A184-4ADB-9723-60A8F44AB28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110,000 &gt; 120,000
1/15 12&gt;15</t>
        </r>
      </text>
    </comment>
    <comment ref="D311" authorId="0" shapeId="0" xr:uid="{EAC1AE6B-7CEA-476F-8C8A-BAFC235E770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311" authorId="0" shapeId="0" xr:uid="{065F5052-B6B8-45A2-B1BB-DC5F7760AEE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1/15 15&gt;21</t>
        </r>
      </text>
    </comment>
    <comment ref="F311" authorId="0" shapeId="0" xr:uid="{D2540F88-CDCB-4FC7-9213-67AC488532C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170,000
1/15 17&gt;24</t>
        </r>
      </text>
    </comment>
    <comment ref="B312" authorId="0" shapeId="0" xr:uid="{3E1D5590-4EE8-49BC-BB08-8BD1A3CFF93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100,000 &gt; 
110,000
1/15 11&gt; 14</t>
        </r>
      </text>
    </comment>
    <comment ref="C312" authorId="0" shapeId="0" xr:uid="{82B73876-B5AC-4E9F-B9A9-23E4E44AAED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110,000 &gt; 120,000
1/15 12&gt;15</t>
        </r>
      </text>
    </comment>
    <comment ref="D312" authorId="0" shapeId="0" xr:uid="{BA27C467-B7B6-4DF3-8E5D-0526C5BD461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312" authorId="0" shapeId="0" xr:uid="{748C2F55-2217-48DC-A80B-A85E0210C8D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1/15 15&gt;21</t>
        </r>
      </text>
    </comment>
    <comment ref="F312" authorId="0" shapeId="0" xr:uid="{D128E455-7422-4255-88B9-CCE8AE518C7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170,000
1/15 17&gt;24</t>
        </r>
      </text>
    </comment>
    <comment ref="B313" authorId="0" shapeId="0" xr:uid="{A010C04A-642A-4BFD-95AD-9480DB83FD7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100,000 &gt; 
110,000
1/15 11&gt; 14</t>
        </r>
      </text>
    </comment>
    <comment ref="C313" authorId="0" shapeId="0" xr:uid="{364AFD99-4F09-4876-8A50-71F9724B611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110,000 &gt; 120,000
1/15 12&gt;15</t>
        </r>
      </text>
    </comment>
    <comment ref="D313" authorId="0" shapeId="0" xr:uid="{8EE09A8F-E5CE-40CF-BA24-6335336B262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313" authorId="0" shapeId="0" xr:uid="{CA40D690-A40C-4C4F-9C85-A3A80C42D36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1/15 15&gt;21</t>
        </r>
      </text>
    </comment>
    <comment ref="F313" authorId="0" shapeId="0" xr:uid="{AAF3F673-C6D0-4879-B8B7-6275B45F03C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170,000
1/15 17&gt;24</t>
        </r>
      </text>
    </comment>
    <comment ref="B314" authorId="0" shapeId="0" xr:uid="{5B69CDF4-6C57-4C5A-8A5A-29E63338793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12&gt;16</t>
        </r>
      </text>
    </comment>
    <comment ref="C314" authorId="0" shapeId="0" xr:uid="{FBB45717-A057-4BF9-9F66-9CD9BE4B8BD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13&gt;17</t>
        </r>
      </text>
    </comment>
    <comment ref="D314" authorId="0" shapeId="0" xr:uid="{DA580919-9749-4167-BE21-E19CA9D322B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18&gt;24</t>
        </r>
      </text>
    </comment>
    <comment ref="E314" authorId="0" shapeId="0" xr:uid="{668392E4-DF5D-4112-9354-2067191BB6E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19&gt;25</t>
        </r>
      </text>
    </comment>
    <comment ref="F314" authorId="0" shapeId="0" xr:uid="{50D1BF27-D96A-47B9-AD66-D1C8F4D33D7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21&gt;30</t>
        </r>
      </text>
    </comment>
    <comment ref="B315" authorId="0" shapeId="0" xr:uid="{6C23946E-ABE5-41BB-91B4-5F627E2C767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13&gt;16</t>
        </r>
      </text>
    </comment>
    <comment ref="C315" authorId="0" shapeId="0" xr:uid="{28994D2A-B33C-4902-B900-7DCABD1A035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14&gt;17</t>
        </r>
      </text>
    </comment>
    <comment ref="D315" authorId="0" shapeId="0" xr:uid="{11AFF7E1-33B3-4952-AC6A-824821E7A02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20&gt;24</t>
        </r>
      </text>
    </comment>
    <comment ref="E315" authorId="0" shapeId="0" xr:uid="{9D530241-801E-410A-BEB8-D914F75AF26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21&gt;25</t>
        </r>
      </text>
    </comment>
    <comment ref="F315" authorId="0" shapeId="0" xr:uid="{E495C5C5-AE52-486F-9570-E1EB4F2EB48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23&gt;30</t>
        </r>
      </text>
    </comment>
    <comment ref="B316" authorId="0" shapeId="0" xr:uid="{404E097B-2503-4E19-9BF2-97BCCD3CCE0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100,000 &gt; 
110,000
1/15 11&gt; 14</t>
        </r>
      </text>
    </comment>
    <comment ref="C316" authorId="0" shapeId="0" xr:uid="{AEA35169-9D86-4080-9152-4EAE0D0C58C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110,000 &gt; 120,000
1/15 12&gt;15</t>
        </r>
      </text>
    </comment>
    <comment ref="D316" authorId="0" shapeId="0" xr:uid="{9F589C20-D7FD-4F85-9F87-EE7EA62DD43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316" authorId="0" shapeId="0" xr:uid="{FD5012D9-2E0C-4EDF-A4AE-D429B0D816E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1/15 15&gt;21</t>
        </r>
      </text>
    </comment>
    <comment ref="F316" authorId="0" shapeId="0" xr:uid="{9F15810F-569C-4CC0-B960-A90643AE8AE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170,000
1/15 17&gt;24</t>
        </r>
      </text>
    </comment>
    <comment ref="B317" authorId="0" shapeId="0" xr:uid="{8AEAC043-701C-418C-95BE-D6F89AC3AE0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100,000 &gt; 
110,000
1/15 11&gt; 14</t>
        </r>
      </text>
    </comment>
    <comment ref="C317" authorId="0" shapeId="0" xr:uid="{79063D78-451B-421E-93AA-6B5677A566A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110,000 &gt; 120,000
1/15 12&gt;15</t>
        </r>
      </text>
    </comment>
    <comment ref="D317" authorId="0" shapeId="0" xr:uid="{1E53A4CA-E3BA-4502-B1F0-7AA11841E21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317" authorId="0" shapeId="0" xr:uid="{5043D3C1-2B65-4C44-A9E5-FD735BFFC3D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1/15 15&gt;21</t>
        </r>
      </text>
    </comment>
    <comment ref="F317" authorId="0" shapeId="0" xr:uid="{5D3B5599-20AD-4D4B-907E-7606F8B9326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170,000
1/15 17&gt;24</t>
        </r>
      </text>
    </comment>
    <comment ref="B318" authorId="0" shapeId="0" xr:uid="{38D1D67A-339D-419D-96D2-753D35CFA3F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100,000 &gt; 
110,000
1/15 11&gt; 14</t>
        </r>
      </text>
    </comment>
    <comment ref="C318" authorId="0" shapeId="0" xr:uid="{CF049735-FDFA-495C-B447-FAF7D717283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110,000 &gt; 120,000
1/15 12&gt;15</t>
        </r>
      </text>
    </comment>
    <comment ref="D318" authorId="0" shapeId="0" xr:uid="{6C2C9A07-707E-40AC-BAE9-8961DC316F1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318" authorId="0" shapeId="0" xr:uid="{9D01585B-E579-4614-98AE-C8DE911ADB7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1/15 15&gt;21</t>
        </r>
      </text>
    </comment>
    <comment ref="F318" authorId="0" shapeId="0" xr:uid="{A1173D17-3829-4023-8A9F-DEEDEEBBA21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170,000
1/15 17&gt;24</t>
        </r>
      </text>
    </comment>
    <comment ref="B319" authorId="0" shapeId="0" xr:uid="{A9D0F6C9-AFE5-4923-BD22-66616F61C7B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100,000 &gt; 
110,000
1/15 11&gt; 14</t>
        </r>
      </text>
    </comment>
    <comment ref="C319" authorId="0" shapeId="0" xr:uid="{9454E3F6-EB65-4DB9-B61F-D41DCBC4E48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110,000 &gt; 120,000
1/15 12&gt;15</t>
        </r>
      </text>
    </comment>
    <comment ref="D319" authorId="0" shapeId="0" xr:uid="{D63E756A-EAB5-4738-A964-5082E65D600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319" authorId="0" shapeId="0" xr:uid="{9AC9A486-083B-484C-A67A-02BBC81BFAB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1/15 15&gt;21</t>
        </r>
      </text>
    </comment>
    <comment ref="F319" authorId="0" shapeId="0" xr:uid="{DBF054FC-E250-45AD-A5E8-0239008A544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170,000
1/15 17&gt;24</t>
        </r>
      </text>
    </comment>
    <comment ref="B320" authorId="0" shapeId="0" xr:uid="{28C3BE30-A90E-482F-B613-C18926B1D2B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100,000 &gt; 
110,000
1/15 11&gt; 14</t>
        </r>
      </text>
    </comment>
    <comment ref="C320" authorId="0" shapeId="0" xr:uid="{F0523AB9-29E3-4D7C-96D9-E5E81BC7F1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110,000 &gt; 120,000
1/15 12&gt;15</t>
        </r>
      </text>
    </comment>
    <comment ref="D320" authorId="0" shapeId="0" xr:uid="{806E61ED-F6FD-47E2-8475-630FD60D6FA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130,000 &gt; 140,000
1/15 14&gt;19</t>
        </r>
      </text>
    </comment>
    <comment ref="E320" authorId="0" shapeId="0" xr:uid="{60C0116D-9270-4449-866A-180E89758FF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140,000 &gt; 150,000
1/15 15&gt;21</t>
        </r>
      </text>
    </comment>
    <comment ref="F320" authorId="0" shapeId="0" xr:uid="{5CB6F621-0B63-47D0-A755-045386A639E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150,000 &gt; 170,000
1/15 17&gt;24</t>
        </r>
      </text>
    </comment>
    <comment ref="B321" authorId="0" shapeId="0" xr:uid="{8B06249C-B49D-48B5-BB91-C28729A4725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12&gt;16</t>
        </r>
      </text>
    </comment>
    <comment ref="C321" authorId="0" shapeId="0" xr:uid="{3B7EC69C-66E8-4721-9F03-4D91E6C9321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13&gt;17</t>
        </r>
      </text>
    </comment>
    <comment ref="D321" authorId="0" shapeId="0" xr:uid="{79AB1765-2B8A-4E1E-ACE5-A35FF9F74E7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18&gt;24</t>
        </r>
      </text>
    </comment>
    <comment ref="E321" authorId="0" shapeId="0" xr:uid="{C4EBCFFC-4811-47BB-8D14-F9411DE877A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19&gt;25</t>
        </r>
      </text>
    </comment>
    <comment ref="F321" authorId="0" shapeId="0" xr:uid="{2C7C64D0-2906-4E35-B62B-65346B30739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21&gt;30</t>
        </r>
      </text>
    </comment>
    <comment ref="B322" authorId="0" shapeId="0" xr:uid="{FC7D5DC8-8D92-4EFB-ABCD-018CC99651B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13&gt;16</t>
        </r>
      </text>
    </comment>
    <comment ref="C322" authorId="0" shapeId="0" xr:uid="{82140987-53C8-4EFE-8A48-193EEBC0E6E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14&gt;17</t>
        </r>
      </text>
    </comment>
    <comment ref="D322" authorId="0" shapeId="0" xr:uid="{AB979F8C-825E-43ED-8120-13BF4BFDF96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20&gt;24</t>
        </r>
      </text>
    </comment>
    <comment ref="E322" authorId="0" shapeId="0" xr:uid="{EC6D5B84-63B6-4CD6-8532-22C32C02273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21&gt;25</t>
        </r>
      </text>
    </comment>
    <comment ref="F322" authorId="0" shapeId="0" xr:uid="{0303933D-63CA-4DA0-8BF4-1B4803ACBDB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1/15 23&gt;30</t>
        </r>
      </text>
    </comment>
  </commentList>
</comments>
</file>

<file path=xl/sharedStrings.xml><?xml version="1.0" encoding="utf-8"?>
<sst xmlns="http://schemas.openxmlformats.org/spreadsheetml/2006/main" count="383" uniqueCount="383">
  <si>
    <t>날짜</t>
  </si>
  <si>
    <t>Single Room</t>
  </si>
  <si>
    <t>Economy Double Room</t>
  </si>
  <si>
    <t>Twin Room</t>
  </si>
  <si>
    <t>Double Room</t>
  </si>
  <si>
    <t>Triple Room</t>
  </si>
  <si>
    <t>Family Room 3 person</t>
  </si>
  <si>
    <t>Family Room 5 person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</si>
  <si>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</si>
  <si>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</si>
  <si>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</si>
  <si>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</si>
  <si>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</si>
  <si>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</si>
  <si>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</si>
  <si>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</si>
  <si>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</si>
  <si>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</si>
  <si>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</si>
  <si>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</si>
  <si>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</si>
  <si>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</si>
  <si>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</si>
  <si>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</si>
  <si>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</si>
  <si>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</si>
  <si>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</si>
  <si>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</si>
  <si>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</si>
  <si>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</si>
  <si>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</si>
  <si>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</si>
  <si>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</si>
  <si>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</si>
  <si>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</si>
  <si>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</si>
  <si>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</si>
  <si>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</si>
  <si>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</si>
  <si>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</si>
  <si>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</si>
  <si>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</si>
  <si>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</si>
  <si>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</si>
  <si>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</si>
  <si>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</si>
  <si>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</si>
  <si>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</si>
  <si>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</si>
  <si>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</si>
  <si>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</si>
  <si>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</si>
  <si>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</si>
  <si>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</si>
  <si>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</si>
  <si>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</si>
  <si>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</si>
  <si>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</si>
  <si>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</si>
  <si>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</si>
  <si>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</si>
  <si>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</si>
  <si>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</si>
  <si>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</si>
  <si>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</si>
  <si>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</si>
  <si>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</si>
  <si>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</si>
  <si>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</si>
  <si>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</si>
  <si>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</si>
  <si>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</si>
  <si>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</si>
  <si>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</si>
  <si>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</si>
  <si>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</si>
  <si>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</si>
  <si>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</si>
  <si>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</si>
  <si>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</si>
  <si>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</si>
  <si>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</si>
  <si>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</si>
  <si>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</si>
  <si>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</si>
  <si>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</si>
  <si>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</si>
  <si>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</si>
  <si>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</si>
  <si>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</si>
  <si>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</si>
  <si>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</si>
  <si>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</si>
  <si>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</si>
  <si>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</si>
  <si>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</si>
  <si>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</si>
  <si>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</si>
  <si>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</si>
  <si>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</si>
  <si>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</si>
  <si>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</si>
  <si>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</si>
  <si>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</si>
  <si>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</si>
  <si>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</si>
  <si>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</si>
  <si>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</si>
  <si>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</si>
  <si>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</si>
  <si>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</si>
  <si>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</si>
  <si>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</si>
  <si>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</si>
  <si>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</si>
  <si>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</si>
  <si>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</si>
  <si>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</si>
  <si>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</si>
  <si>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</si>
  <si>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</si>
  <si>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</si>
  <si>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</si>
  <si>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</si>
  <si>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</si>
  <si>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</si>
  <si>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</si>
  <si>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</si>
  <si>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</si>
  <si>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</si>
  <si>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</si>
  <si>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</si>
  <si>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</si>
  <si>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</si>
  <si>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</si>
  <si>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</si>
  <si>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</si>
  <si>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</si>
  <si>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</si>
  <si>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</si>
  <si>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</si>
  <si>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</si>
  <si>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</si>
  <si>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</si>
  <si>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</si>
  <si>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</si>
  <si>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</si>
  <si>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</si>
  <si>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</si>
  <si>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</si>
  <si>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</si>
  <si>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</si>
  <si>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</si>
  <si>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</si>
  <si>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</si>
  <si>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</si>
  <si>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</si>
  <si>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</si>
  <si>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</si>
  <si>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</si>
  <si>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</si>
  <si>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</si>
  <si>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</si>
  <si>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</si>
  <si>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</si>
  <si>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</si>
  <si>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</si>
  <si>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</si>
  <si>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</si>
  <si>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</si>
  <si>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</si>
  <si>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</si>
  <si>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</si>
  <si>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</si>
  <si>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</si>
  <si>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</si>
  <si>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</si>
  <si>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</si>
  <si>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</si>
  <si>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</si>
  <si>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</si>
  <si>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</si>
  <si>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</si>
  <si>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</si>
  <si>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</si>
  <si>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</si>
  <si>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</si>
  <si>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</si>
  <si>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</si>
  <si>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</si>
  <si>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</si>
  <si>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</si>
  <si>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</si>
  <si>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</si>
  <si>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</si>
  <si>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</si>
  <si>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</si>
  <si>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</si>
  <si>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</si>
  <si>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</si>
  <si>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</si>
  <si>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</si>
  <si>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</si>
  <si>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</si>
  <si>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</si>
  <si>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</si>
  <si>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</si>
  <si>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</si>
  <si>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</si>
  <si>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</si>
  <si>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</si>
  <si>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</si>
  <si>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</si>
  <si>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</si>
  <si>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</si>
  <si>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</si>
  <si>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</si>
  <si>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</si>
  <si>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</si>
  <si>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</si>
  <si>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</si>
  <si>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</si>
  <si>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</si>
  <si>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</si>
  <si>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</si>
  <si>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</si>
  <si>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</si>
  <si>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</si>
  <si>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</si>
  <si>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</si>
  <si>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</si>
  <si>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</si>
  <si>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</si>
  <si>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</si>
  <si>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</si>
  <si>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</si>
  <si>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</si>
  <si>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</si>
  <si>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</si>
  <si>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</si>
  <si>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</si>
  <si>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</si>
  <si>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</si>
  <si>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</si>
  <si>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</si>
  <si>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</si>
  <si>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</si>
  <si>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</si>
  <si>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</si>
  <si>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</si>
  <si>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</si>
  <si>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</si>
  <si>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</si>
  <si>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</si>
  <si>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</si>
  <si>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</si>
  <si>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</si>
  <si>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</si>
  <si>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</si>
  <si>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</si>
  <si>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</si>
  <si>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</si>
  <si>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</si>
  <si>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</si>
  <si>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</si>
  <si>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</si>
  <si>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</si>
  <si>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</si>
  <si>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</si>
  <si>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</si>
  <si>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</si>
  <si>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</si>
  <si>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</si>
  <si>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</si>
  <si>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</si>
  <si>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</si>
  <si>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</si>
  <si>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</si>
  <si>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</si>
  <si>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</si>
  <si>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</si>
  <si>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</si>
  <si>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</si>
  <si>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</si>
  <si>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</si>
  <si>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</si>
  <si>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</si>
  <si>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</si>
  <si>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</si>
  <si>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</si>
  <si>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</si>
  <si>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</si>
  <si>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</si>
  <si>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</si>
  <si>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</si>
  <si>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</si>
  <si>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</si>
  <si>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</si>
  <si>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</si>
  <si>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</si>
  <si>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</si>
  <si>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</si>
  <si>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</si>
  <si>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</si>
  <si>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</si>
  <si>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</si>
  <si>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</si>
  <si>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</si>
  <si>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</si>
  <si>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</si>
  <si>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</si>
  <si>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</si>
  <si>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</si>
  <si>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</si>
  <si>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</si>
  <si>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</si>
  <si>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</si>
  <si>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</si>
  <si>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</si>
  <si>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</si>
  <si>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</si>
  <si>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</si>
  <si>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</si>
  <si>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</si>
  <si>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</si>
  <si>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</si>
  <si>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</si>
  <si>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</si>
  <si>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</si>
  <si>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</si>
  <si>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</si>
  <si>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</si>
  <si>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</si>
  <si>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</si>
  <si>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</si>
  <si>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</si>
  <si>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</si>
  <si>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</si>
  <si>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</si>
  <si>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</si>
  <si>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</si>
  <si>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</si>
  <si>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</si>
  <si>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</si>
  <si>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</si>
  <si>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</si>
  <si>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</si>
  <si>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</si>
  <si>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</si>
  <si>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</si>
  <si>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</si>
  <si>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</si>
  <si>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</si>
  <si>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</si>
  <si>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</si>
  <si>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</si>
  <si>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</si>
  <si>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 xml:space="preserve">아고다 </t>
    <phoneticPr fontId="3" type="noConversion"/>
  </si>
  <si>
    <t>수수료</t>
    <phoneticPr fontId="3" type="noConversion"/>
  </si>
  <si>
    <t>프로모션</t>
    <phoneticPr fontId="3" type="noConversion"/>
  </si>
  <si>
    <t>Ctrip</t>
    <phoneticPr fontId="3" type="noConversion"/>
  </si>
  <si>
    <t>부킹</t>
    <phoneticPr fontId="3" type="noConversion"/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</si>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</sst>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8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3" fontId="2" fillId="0" borderId="0" xfId="0" applyNumberFormat="1" applyFont="1"/>
    <xf numFmtId="3" fontId="4" fillId="0" borderId="0" xfId="0" applyNumberFormat="1" applyFont="1"/>
    <xf numFmtId="3" fontId="0" fillId="2" borderId="0" xfId="0" applyNumberFormat="1" applyFill="1"/>
    <xf numFmtId="3" fontId="2" fillId="2" borderId="0" xfId="0" applyNumberFormat="1" applyFont="1" applyFill="1"/>
    <xf numFmtId="41" fontId="0" fillId="0" borderId="0" xfId="1" applyFont="1" applyAlignment="1"/>
    <xf numFmtId="9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41" fontId="0" fillId="0" borderId="0" xfId="0" applyNumberFormat="1"/>
    <xf numFmtId="41" fontId="0" fillId="0" borderId="0" xfId="1" applyFont="1" applyAlignment="1">
      <alignment horizontal="center"/>
    </xf>
    <xf numFmtId="3" fontId="0" fillId="3" borderId="0" xfId="0" applyNumberFormat="1" applyFill="1"/>
    <xf numFmtId="0" fontId="1" fillId="0" borderId="1" xfId="0" applyFont="1" applyBorder="1" applyAlignment="1">
      <alignment horizontal="right" vertical="top"/>
    </xf>
    <xf numFmtId="0" fontId="2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14" fontId="10" fillId="0" borderId="0" xfId="0" applyNumberFormat="1" applyFont="1" applyAlignment="1">
      <alignment horizontal="right"/>
    </xf>
    <xf numFmtId="14" fontId="11" fillId="0" borderId="0" xfId="0" applyNumberFormat="1" applyFont="1" applyAlignment="1">
      <alignment horizontal="right"/>
    </xf>
    <xf numFmtId="41" fontId="0" fillId="2" borderId="0" xfId="1" applyFont="1" applyFill="1" applyAlignment="1"/>
    <xf numFmtId="41" fontId="0" fillId="2" borderId="0" xfId="0" applyNumberFormat="1" applyFill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5"/>
  <sheetViews>
    <sheetView tabSelected="1" zoomScaleNormal="100" workbookViewId="0">
      <pane xSplit="1" ySplit="1" topLeftCell="B457" activePane="bottomRight" state="frozen"/>
      <selection pane="topRight" activeCell="B1" sqref="B1"/>
      <selection pane="bottomLeft" activeCell="A2" sqref="A2"/>
      <selection pane="bottomRight" activeCell="D474" sqref="D474"/>
    </sheetView>
  </sheetViews>
  <sheetFormatPr defaultRowHeight="16.5" x14ac:dyDescent="0.3"/>
  <cols>
    <col min="1" max="1" width="15" style="9" customWidth="1"/>
    <col min="2" max="2" width="13.125" bestFit="1" customWidth="1"/>
    <col min="3" max="8" width="18" customWidth="1"/>
    <col min="10" max="10" width="10.875" bestFit="1" customWidth="1"/>
    <col min="11" max="12" width="9.375" bestFit="1" customWidth="1"/>
    <col min="13" max="14" width="10.875" bestFit="1" customWidth="1"/>
    <col min="15" max="15" width="9.375" bestFit="1" customWidth="1"/>
    <col min="16" max="16" width="9.25" bestFit="1" customWidth="1"/>
    <col min="17" max="17" width="13" bestFit="1" customWidth="1"/>
  </cols>
  <sheetData>
    <row r="1" spans="1:16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>
        <v>10</v>
      </c>
      <c r="K1">
        <v>3</v>
      </c>
      <c r="L1">
        <v>12</v>
      </c>
      <c r="M1">
        <v>5</v>
      </c>
      <c r="N1">
        <v>6</v>
      </c>
      <c r="O1">
        <v>1</v>
      </c>
      <c r="P1">
        <v>1</v>
      </c>
    </row>
    <row r="2" spans="1:16" x14ac:dyDescent="0.3">
      <c r="A2" s="9" t="s">
        <v>8</v>
      </c>
      <c r="B2" s="2">
        <v>80000</v>
      </c>
      <c r="C2" s="2">
        <v>90000</v>
      </c>
      <c r="D2" s="2">
        <v>90000</v>
      </c>
      <c r="E2" s="2">
        <v>95000</v>
      </c>
      <c r="F2" s="2">
        <v>80000</v>
      </c>
      <c r="G2" s="2">
        <v>350000</v>
      </c>
      <c r="H2" s="2">
        <v>390000</v>
      </c>
    </row>
    <row r="3" spans="1:16" x14ac:dyDescent="0.3">
      <c r="A3" s="9" t="s">
        <v>9</v>
      </c>
      <c r="B3" s="2">
        <v>80000</v>
      </c>
      <c r="C3" s="2">
        <v>90000</v>
      </c>
      <c r="D3" s="2">
        <v>100000</v>
      </c>
      <c r="E3" s="2">
        <v>95000</v>
      </c>
      <c r="F3" s="2">
        <v>120000</v>
      </c>
      <c r="G3" s="2">
        <v>350000</v>
      </c>
      <c r="H3" s="2">
        <v>390000</v>
      </c>
    </row>
    <row r="4" spans="1:16" x14ac:dyDescent="0.3">
      <c r="A4" s="9" t="s">
        <v>10</v>
      </c>
      <c r="B4" s="2">
        <v>100000</v>
      </c>
      <c r="C4" s="2">
        <v>90000</v>
      </c>
      <c r="D4" s="2">
        <v>100000</v>
      </c>
      <c r="E4" s="2">
        <v>100000</v>
      </c>
      <c r="F4" s="2">
        <v>120000</v>
      </c>
      <c r="G4" s="2">
        <v>250000</v>
      </c>
      <c r="H4" s="2">
        <v>390000</v>
      </c>
    </row>
    <row r="5" spans="1:16" x14ac:dyDescent="0.3">
      <c r="A5" s="9" t="s">
        <v>11</v>
      </c>
      <c r="B5" s="2">
        <v>80000</v>
      </c>
      <c r="C5" s="2">
        <v>90000</v>
      </c>
      <c r="D5" s="2">
        <v>100000</v>
      </c>
      <c r="E5" s="2">
        <v>100000</v>
      </c>
      <c r="F5" s="2">
        <v>120000</v>
      </c>
      <c r="G5" s="2">
        <v>300000</v>
      </c>
      <c r="H5" s="2">
        <v>390000</v>
      </c>
    </row>
    <row r="6" spans="1:16" x14ac:dyDescent="0.3">
      <c r="A6" s="15" t="s">
        <v>12</v>
      </c>
      <c r="B6" s="3">
        <v>110000</v>
      </c>
      <c r="C6" s="3">
        <v>130000</v>
      </c>
      <c r="D6" s="3">
        <v>170000</v>
      </c>
      <c r="E6" s="3">
        <v>180000</v>
      </c>
      <c r="F6" s="3">
        <v>210000</v>
      </c>
      <c r="G6" s="3">
        <v>400000</v>
      </c>
      <c r="H6" s="3">
        <v>500000</v>
      </c>
    </row>
    <row r="7" spans="1:16" x14ac:dyDescent="0.3">
      <c r="A7" s="15" t="s">
        <v>13</v>
      </c>
      <c r="B7" s="3">
        <v>120000</v>
      </c>
      <c r="C7" s="3">
        <v>130000</v>
      </c>
      <c r="D7" s="3">
        <v>180000</v>
      </c>
      <c r="E7" s="3">
        <v>170000</v>
      </c>
      <c r="F7" s="3">
        <v>220000</v>
      </c>
      <c r="G7" s="3">
        <v>400000</v>
      </c>
      <c r="H7" s="3">
        <v>500000</v>
      </c>
    </row>
    <row r="8" spans="1:16" x14ac:dyDescent="0.3">
      <c r="A8" s="9" t="s">
        <v>14</v>
      </c>
      <c r="B8" s="2">
        <v>100000</v>
      </c>
      <c r="C8" s="2">
        <v>90000</v>
      </c>
      <c r="D8" s="2">
        <v>90000</v>
      </c>
      <c r="E8" s="2">
        <v>100000</v>
      </c>
      <c r="F8" s="2">
        <v>280000</v>
      </c>
      <c r="G8" s="2">
        <v>350000</v>
      </c>
      <c r="H8" s="2">
        <v>500000</v>
      </c>
    </row>
    <row r="9" spans="1:16" x14ac:dyDescent="0.3">
      <c r="A9" s="9" t="s">
        <v>15</v>
      </c>
      <c r="B9" s="2">
        <v>100000</v>
      </c>
      <c r="C9" s="2">
        <v>90000</v>
      </c>
      <c r="D9" s="2">
        <v>90000</v>
      </c>
      <c r="E9" s="2">
        <v>100000</v>
      </c>
      <c r="F9" s="2">
        <v>120000</v>
      </c>
      <c r="G9" s="2">
        <v>350000</v>
      </c>
      <c r="H9" s="2">
        <v>500000</v>
      </c>
    </row>
    <row r="10" spans="1:16" x14ac:dyDescent="0.3">
      <c r="A10" s="9" t="s">
        <v>16</v>
      </c>
      <c r="B10" s="2">
        <v>100000</v>
      </c>
      <c r="C10" s="2">
        <v>90000</v>
      </c>
      <c r="D10" s="2">
        <v>90000</v>
      </c>
      <c r="E10" s="2">
        <v>110000</v>
      </c>
      <c r="F10" s="2">
        <v>120000</v>
      </c>
      <c r="G10" s="2">
        <v>350000</v>
      </c>
      <c r="H10" s="2">
        <v>500000</v>
      </c>
    </row>
    <row r="11" spans="1:16" x14ac:dyDescent="0.3">
      <c r="A11" s="9" t="s">
        <v>17</v>
      </c>
      <c r="B11" s="2">
        <v>90000</v>
      </c>
      <c r="C11" s="2">
        <v>100000</v>
      </c>
      <c r="D11" s="2">
        <v>90000</v>
      </c>
      <c r="E11" s="2">
        <v>110000</v>
      </c>
      <c r="F11" s="2">
        <v>120000</v>
      </c>
      <c r="G11" s="2">
        <v>350000</v>
      </c>
      <c r="H11" s="2">
        <v>500000</v>
      </c>
    </row>
    <row r="12" spans="1:16" x14ac:dyDescent="0.3">
      <c r="A12" s="9" t="s">
        <v>18</v>
      </c>
      <c r="B12" s="2">
        <v>100000</v>
      </c>
      <c r="C12" s="2">
        <v>90000</v>
      </c>
      <c r="D12" s="2">
        <v>100000</v>
      </c>
      <c r="E12" s="2">
        <v>110000</v>
      </c>
      <c r="F12" s="2">
        <v>120000</v>
      </c>
      <c r="G12" s="2">
        <v>350000</v>
      </c>
      <c r="H12" s="2">
        <v>450000</v>
      </c>
    </row>
    <row r="13" spans="1:16" x14ac:dyDescent="0.3">
      <c r="A13" s="15" t="s">
        <v>19</v>
      </c>
      <c r="B13" s="3">
        <v>120000</v>
      </c>
      <c r="C13" s="3">
        <v>120000</v>
      </c>
      <c r="D13" s="3">
        <v>170000</v>
      </c>
      <c r="E13" s="3">
        <v>170000</v>
      </c>
      <c r="F13" s="3">
        <v>200000</v>
      </c>
      <c r="G13" s="3">
        <v>500000</v>
      </c>
      <c r="H13" s="3">
        <v>550000</v>
      </c>
    </row>
    <row r="14" spans="1:16" x14ac:dyDescent="0.3">
      <c r="A14" s="15" t="s">
        <v>20</v>
      </c>
      <c r="B14" s="3">
        <v>120000</v>
      </c>
      <c r="C14" s="3">
        <v>130000</v>
      </c>
      <c r="D14" s="3">
        <v>180000</v>
      </c>
      <c r="E14" s="3">
        <v>190000</v>
      </c>
      <c r="F14" s="3">
        <v>180000</v>
      </c>
      <c r="G14" s="3">
        <v>450000</v>
      </c>
      <c r="H14" s="3">
        <v>600000</v>
      </c>
    </row>
    <row r="15" spans="1:16" x14ac:dyDescent="0.3">
      <c r="A15" s="9" t="s">
        <v>21</v>
      </c>
      <c r="B15" s="2">
        <v>90000</v>
      </c>
      <c r="C15" s="2">
        <v>90000</v>
      </c>
      <c r="D15" s="2">
        <v>90000</v>
      </c>
      <c r="E15" s="2">
        <v>110000</v>
      </c>
      <c r="F15" s="2">
        <v>120000</v>
      </c>
      <c r="G15" s="2">
        <v>300000</v>
      </c>
      <c r="H15" s="2">
        <v>400000</v>
      </c>
    </row>
    <row r="16" spans="1:16" x14ac:dyDescent="0.3">
      <c r="A16" s="9" t="s">
        <v>22</v>
      </c>
      <c r="B16" s="2">
        <v>90000</v>
      </c>
      <c r="C16" s="2">
        <v>90000</v>
      </c>
      <c r="D16" s="2">
        <v>90000</v>
      </c>
      <c r="E16" s="2">
        <v>100000</v>
      </c>
      <c r="F16" s="2">
        <v>120000</v>
      </c>
      <c r="G16" s="2">
        <v>300000</v>
      </c>
      <c r="H16" s="2">
        <v>400000</v>
      </c>
    </row>
    <row r="17" spans="1:8" x14ac:dyDescent="0.3">
      <c r="A17" s="9" t="s">
        <v>23</v>
      </c>
      <c r="B17" s="2">
        <v>90000</v>
      </c>
      <c r="C17" s="2">
        <v>90000</v>
      </c>
      <c r="D17" s="2">
        <v>90000</v>
      </c>
      <c r="E17" s="2">
        <v>100000</v>
      </c>
      <c r="F17" s="2">
        <v>120000</v>
      </c>
      <c r="G17" s="2">
        <v>300000</v>
      </c>
      <c r="H17" s="2">
        <v>400000</v>
      </c>
    </row>
    <row r="18" spans="1:8" x14ac:dyDescent="0.3">
      <c r="A18" s="9" t="s">
        <v>24</v>
      </c>
      <c r="B18" s="2">
        <v>70000</v>
      </c>
      <c r="C18" s="2">
        <v>90000</v>
      </c>
      <c r="D18" s="2">
        <v>90000</v>
      </c>
      <c r="E18" s="2">
        <v>100000</v>
      </c>
      <c r="F18" s="2">
        <v>120000</v>
      </c>
      <c r="G18" s="2">
        <v>300000</v>
      </c>
      <c r="H18" s="2">
        <v>400000</v>
      </c>
    </row>
    <row r="19" spans="1:8" x14ac:dyDescent="0.3">
      <c r="A19" s="9" t="s">
        <v>25</v>
      </c>
      <c r="B19" s="2">
        <v>110000</v>
      </c>
      <c r="C19" s="2">
        <v>100000</v>
      </c>
      <c r="D19" s="2">
        <v>90000</v>
      </c>
      <c r="E19" s="2">
        <v>130000</v>
      </c>
      <c r="F19" s="2">
        <v>150000</v>
      </c>
      <c r="G19" s="2">
        <v>300000</v>
      </c>
      <c r="H19" s="5">
        <v>450000</v>
      </c>
    </row>
    <row r="20" spans="1:8" x14ac:dyDescent="0.3">
      <c r="A20" s="15" t="s">
        <v>26</v>
      </c>
      <c r="B20" s="3">
        <v>110000</v>
      </c>
      <c r="C20" s="6">
        <v>120000</v>
      </c>
      <c r="D20" s="3">
        <v>170000</v>
      </c>
      <c r="E20" s="3">
        <v>170000</v>
      </c>
      <c r="F20" s="3">
        <v>200000</v>
      </c>
      <c r="G20" s="3">
        <v>400000</v>
      </c>
      <c r="H20" s="6">
        <v>600000</v>
      </c>
    </row>
    <row r="21" spans="1:8" x14ac:dyDescent="0.3">
      <c r="A21" s="15" t="s">
        <v>27</v>
      </c>
      <c r="B21" s="6">
        <v>120000</v>
      </c>
      <c r="C21" s="6">
        <v>130000</v>
      </c>
      <c r="D21" s="3">
        <v>190000</v>
      </c>
      <c r="E21" s="3">
        <v>180000</v>
      </c>
      <c r="F21" s="3">
        <v>300000</v>
      </c>
      <c r="G21" s="3">
        <v>400000</v>
      </c>
      <c r="H21" s="6">
        <v>600000</v>
      </c>
    </row>
    <row r="22" spans="1:8" x14ac:dyDescent="0.3">
      <c r="A22" s="9" t="s">
        <v>28</v>
      </c>
      <c r="B22" s="5">
        <v>100000</v>
      </c>
      <c r="C22" s="5">
        <v>90000</v>
      </c>
      <c r="D22" s="5">
        <v>130000</v>
      </c>
      <c r="E22" s="5">
        <v>110000</v>
      </c>
      <c r="F22" s="2">
        <v>200000</v>
      </c>
      <c r="G22" s="5">
        <v>350000</v>
      </c>
      <c r="H22" s="5">
        <v>400000</v>
      </c>
    </row>
    <row r="23" spans="1:8" x14ac:dyDescent="0.3">
      <c r="A23" s="9" t="s">
        <v>29</v>
      </c>
      <c r="B23" s="5">
        <v>100000</v>
      </c>
      <c r="C23" s="2">
        <v>100000</v>
      </c>
      <c r="D23" s="2">
        <v>130000</v>
      </c>
      <c r="E23" s="2">
        <v>130000</v>
      </c>
      <c r="F23" s="2">
        <v>150000</v>
      </c>
      <c r="G23" s="5">
        <v>350000</v>
      </c>
      <c r="H23" s="2">
        <v>250000</v>
      </c>
    </row>
    <row r="24" spans="1:8" x14ac:dyDescent="0.3">
      <c r="A24" s="9" t="s">
        <v>30</v>
      </c>
      <c r="B24" s="2">
        <v>110000</v>
      </c>
      <c r="C24" s="5">
        <v>90000</v>
      </c>
      <c r="D24" s="2">
        <v>130000</v>
      </c>
      <c r="E24" s="2">
        <v>130000</v>
      </c>
      <c r="F24" s="2">
        <v>150000</v>
      </c>
      <c r="G24" s="5">
        <v>350000</v>
      </c>
      <c r="H24" s="5">
        <v>400000</v>
      </c>
    </row>
    <row r="25" spans="1:8" x14ac:dyDescent="0.3">
      <c r="A25" s="9" t="s">
        <v>31</v>
      </c>
      <c r="B25" s="2">
        <v>100000</v>
      </c>
      <c r="C25" s="2">
        <v>90000</v>
      </c>
      <c r="D25" s="2">
        <v>130000</v>
      </c>
      <c r="E25" s="2">
        <v>130000</v>
      </c>
      <c r="F25" s="2">
        <v>150000</v>
      </c>
      <c r="G25" s="5">
        <v>350000</v>
      </c>
      <c r="H25" s="5">
        <v>400000</v>
      </c>
    </row>
    <row r="26" spans="1:8" x14ac:dyDescent="0.3">
      <c r="A26" s="9" t="s">
        <v>32</v>
      </c>
      <c r="B26" s="2">
        <v>100000</v>
      </c>
      <c r="C26" s="2">
        <v>100000</v>
      </c>
      <c r="D26" s="2">
        <v>130000</v>
      </c>
      <c r="E26" s="2">
        <v>130000</v>
      </c>
      <c r="F26" s="2">
        <v>300000</v>
      </c>
      <c r="G26" s="2">
        <v>300000</v>
      </c>
      <c r="H26" s="2">
        <v>250000</v>
      </c>
    </row>
    <row r="27" spans="1:8" x14ac:dyDescent="0.3">
      <c r="A27" s="15" t="s">
        <v>33</v>
      </c>
      <c r="B27" s="3">
        <v>110000</v>
      </c>
      <c r="C27" s="6">
        <v>120000</v>
      </c>
      <c r="D27" s="3">
        <v>160000</v>
      </c>
      <c r="E27" s="6">
        <v>170000</v>
      </c>
      <c r="F27" s="3">
        <v>200000</v>
      </c>
      <c r="G27" s="3">
        <v>450000</v>
      </c>
      <c r="H27" s="6">
        <v>650000</v>
      </c>
    </row>
    <row r="28" spans="1:8" x14ac:dyDescent="0.3">
      <c r="A28" s="15" t="s">
        <v>34</v>
      </c>
      <c r="B28" s="3">
        <v>120000</v>
      </c>
      <c r="C28" s="6">
        <v>130000</v>
      </c>
      <c r="D28" s="3">
        <v>180000</v>
      </c>
      <c r="E28" s="3">
        <v>190000</v>
      </c>
      <c r="F28" s="3">
        <v>300000</v>
      </c>
      <c r="G28" s="6">
        <v>550000</v>
      </c>
      <c r="H28" s="6">
        <v>700000</v>
      </c>
    </row>
    <row r="29" spans="1:8" x14ac:dyDescent="0.3">
      <c r="A29" s="9" t="s">
        <v>35</v>
      </c>
      <c r="B29" s="2">
        <v>110000</v>
      </c>
      <c r="C29" s="2">
        <v>110000</v>
      </c>
      <c r="D29" s="5">
        <v>120000</v>
      </c>
      <c r="E29" s="2">
        <v>140000</v>
      </c>
      <c r="F29" s="2">
        <v>160000</v>
      </c>
      <c r="G29" s="5">
        <v>350000</v>
      </c>
      <c r="H29" s="5">
        <v>500000</v>
      </c>
    </row>
    <row r="30" spans="1:8" x14ac:dyDescent="0.3">
      <c r="A30" s="9" t="s">
        <v>36</v>
      </c>
      <c r="B30" s="2">
        <v>110000</v>
      </c>
      <c r="C30" s="2">
        <v>110000</v>
      </c>
      <c r="D30" s="2">
        <v>130000</v>
      </c>
      <c r="E30" s="2">
        <v>140000</v>
      </c>
      <c r="F30" s="2">
        <v>160000</v>
      </c>
      <c r="G30" s="5">
        <v>350000</v>
      </c>
      <c r="H30" s="5">
        <v>300000</v>
      </c>
    </row>
    <row r="31" spans="1:8" x14ac:dyDescent="0.3">
      <c r="A31" s="9" t="s">
        <v>37</v>
      </c>
      <c r="B31" s="2">
        <v>110000</v>
      </c>
      <c r="C31" s="2">
        <v>110000</v>
      </c>
      <c r="D31" s="2">
        <v>140000</v>
      </c>
      <c r="E31" s="2">
        <v>140000</v>
      </c>
      <c r="F31" s="2">
        <v>160000</v>
      </c>
      <c r="G31" s="2">
        <v>300000</v>
      </c>
      <c r="H31" s="5">
        <v>300000</v>
      </c>
    </row>
    <row r="32" spans="1:8" x14ac:dyDescent="0.3">
      <c r="A32" s="9" t="s">
        <v>38</v>
      </c>
      <c r="B32" s="2">
        <v>110000</v>
      </c>
      <c r="C32" s="2">
        <v>110000</v>
      </c>
      <c r="D32" s="2">
        <v>140000</v>
      </c>
      <c r="E32" s="2">
        <v>140000</v>
      </c>
      <c r="F32" s="2">
        <v>160000</v>
      </c>
      <c r="G32" s="2">
        <v>300000</v>
      </c>
      <c r="H32" s="5">
        <v>450000</v>
      </c>
    </row>
    <row r="33" spans="1:8" x14ac:dyDescent="0.3">
      <c r="A33" s="9" t="s">
        <v>39</v>
      </c>
      <c r="B33" s="2">
        <v>100000</v>
      </c>
      <c r="C33" s="2">
        <v>110000</v>
      </c>
      <c r="D33" s="2">
        <v>130000</v>
      </c>
      <c r="E33" s="2">
        <v>140000</v>
      </c>
      <c r="F33" s="2">
        <v>160000</v>
      </c>
      <c r="G33" s="2">
        <v>300000</v>
      </c>
      <c r="H33" s="2">
        <v>450000</v>
      </c>
    </row>
    <row r="34" spans="1:8" x14ac:dyDescent="0.3">
      <c r="A34" s="15" t="s">
        <v>40</v>
      </c>
      <c r="B34" s="3">
        <v>140000</v>
      </c>
      <c r="C34" s="3">
        <v>150000</v>
      </c>
      <c r="D34" s="3">
        <v>180000</v>
      </c>
      <c r="E34" s="3">
        <v>180000</v>
      </c>
      <c r="F34" s="3">
        <v>180000</v>
      </c>
      <c r="G34" s="3">
        <v>500000</v>
      </c>
      <c r="H34" s="3">
        <v>600000</v>
      </c>
    </row>
    <row r="35" spans="1:8" x14ac:dyDescent="0.3">
      <c r="A35" s="15" t="s">
        <v>41</v>
      </c>
      <c r="B35" s="3">
        <v>150000</v>
      </c>
      <c r="C35" s="6">
        <v>150000</v>
      </c>
      <c r="D35" s="3">
        <v>190000</v>
      </c>
      <c r="E35" s="3">
        <v>190000</v>
      </c>
      <c r="F35" s="3">
        <v>360000</v>
      </c>
      <c r="G35" s="6">
        <v>550000</v>
      </c>
      <c r="H35" s="3">
        <v>650000</v>
      </c>
    </row>
    <row r="36" spans="1:8" x14ac:dyDescent="0.3">
      <c r="A36" s="9" t="s">
        <v>42</v>
      </c>
      <c r="B36" s="2">
        <v>140000</v>
      </c>
      <c r="C36" s="5">
        <v>130000</v>
      </c>
      <c r="D36" s="2">
        <v>150000</v>
      </c>
      <c r="E36" s="2">
        <v>160000</v>
      </c>
      <c r="F36" s="2">
        <v>360000</v>
      </c>
      <c r="G36" s="2">
        <v>450000</v>
      </c>
      <c r="H36" s="2">
        <v>600000</v>
      </c>
    </row>
    <row r="37" spans="1:8" x14ac:dyDescent="0.3">
      <c r="A37" s="9" t="s">
        <v>43</v>
      </c>
      <c r="B37" s="2">
        <v>140000</v>
      </c>
      <c r="C37" s="2">
        <v>130000</v>
      </c>
      <c r="D37" s="2">
        <v>150000</v>
      </c>
      <c r="E37" s="2">
        <v>160000</v>
      </c>
      <c r="F37" s="2">
        <v>160000</v>
      </c>
      <c r="G37" s="2">
        <v>350000</v>
      </c>
      <c r="H37" s="2">
        <v>500000</v>
      </c>
    </row>
    <row r="38" spans="1:8" x14ac:dyDescent="0.3">
      <c r="A38" s="9" t="s">
        <v>44</v>
      </c>
      <c r="B38" s="2">
        <v>140000</v>
      </c>
      <c r="C38" s="2">
        <v>140000</v>
      </c>
      <c r="D38" s="2">
        <v>150000</v>
      </c>
      <c r="E38" s="2">
        <v>160000</v>
      </c>
      <c r="F38" s="2">
        <v>160000</v>
      </c>
      <c r="G38" s="2">
        <v>350000</v>
      </c>
      <c r="H38" s="2">
        <v>500000</v>
      </c>
    </row>
    <row r="39" spans="1:8" x14ac:dyDescent="0.3">
      <c r="A39" s="9" t="s">
        <v>45</v>
      </c>
      <c r="B39" s="2">
        <v>140000</v>
      </c>
      <c r="C39" s="5">
        <v>140000</v>
      </c>
      <c r="D39" s="2">
        <v>150000</v>
      </c>
      <c r="E39" s="2">
        <v>170000</v>
      </c>
      <c r="F39" s="2">
        <v>160000</v>
      </c>
      <c r="G39" s="5">
        <v>400000</v>
      </c>
      <c r="H39" s="2">
        <v>500000</v>
      </c>
    </row>
    <row r="40" spans="1:8" x14ac:dyDescent="0.3">
      <c r="A40" s="9" t="s">
        <v>46</v>
      </c>
      <c r="B40" s="2">
        <v>140000</v>
      </c>
      <c r="C40" s="5">
        <v>130000</v>
      </c>
      <c r="D40" s="2">
        <v>150000</v>
      </c>
      <c r="E40" s="2">
        <v>170000</v>
      </c>
      <c r="F40" s="2">
        <v>160000</v>
      </c>
      <c r="G40" s="5">
        <v>400000</v>
      </c>
      <c r="H40" s="2">
        <v>500000</v>
      </c>
    </row>
    <row r="41" spans="1:8" x14ac:dyDescent="0.3">
      <c r="A41" s="15" t="s">
        <v>47</v>
      </c>
      <c r="B41" s="3">
        <v>170000</v>
      </c>
      <c r="C41" s="6">
        <v>150000</v>
      </c>
      <c r="D41" s="3">
        <v>240000</v>
      </c>
      <c r="E41" s="6">
        <v>200000</v>
      </c>
      <c r="F41" s="3">
        <v>380000</v>
      </c>
      <c r="G41" s="3">
        <v>400000</v>
      </c>
      <c r="H41" s="6">
        <v>700000</v>
      </c>
    </row>
    <row r="42" spans="1:8" x14ac:dyDescent="0.3">
      <c r="A42" s="15" t="s">
        <v>48</v>
      </c>
      <c r="B42" s="6">
        <v>140000</v>
      </c>
      <c r="C42" s="3">
        <v>180000</v>
      </c>
      <c r="D42" s="6">
        <v>190000</v>
      </c>
      <c r="E42" s="6">
        <v>210000</v>
      </c>
      <c r="F42" s="3">
        <v>380000</v>
      </c>
      <c r="G42" s="6">
        <v>600000</v>
      </c>
      <c r="H42" s="6">
        <v>750000</v>
      </c>
    </row>
    <row r="43" spans="1:8" x14ac:dyDescent="0.3">
      <c r="A43" s="9" t="s">
        <v>49</v>
      </c>
      <c r="B43" s="2">
        <v>160000</v>
      </c>
      <c r="C43" s="2">
        <v>170000</v>
      </c>
      <c r="D43" s="2">
        <v>210000</v>
      </c>
      <c r="E43" s="2">
        <v>210000</v>
      </c>
      <c r="F43" s="2">
        <v>240000</v>
      </c>
      <c r="G43" s="5">
        <v>400000</v>
      </c>
      <c r="H43" s="2">
        <v>350000</v>
      </c>
    </row>
    <row r="44" spans="1:8" x14ac:dyDescent="0.3">
      <c r="A44" s="9" t="s">
        <v>50</v>
      </c>
      <c r="B44" s="2">
        <v>160000</v>
      </c>
      <c r="C44" s="2">
        <v>170000</v>
      </c>
      <c r="D44" s="2">
        <v>210000</v>
      </c>
      <c r="E44" s="2">
        <v>210000</v>
      </c>
      <c r="F44" s="2">
        <v>300000</v>
      </c>
      <c r="G44" s="5">
        <v>400000</v>
      </c>
      <c r="H44" s="5">
        <v>550000</v>
      </c>
    </row>
    <row r="45" spans="1:8" x14ac:dyDescent="0.3">
      <c r="A45" s="9" t="s">
        <v>51</v>
      </c>
      <c r="B45" s="2">
        <v>160000</v>
      </c>
      <c r="C45" s="2">
        <v>170000</v>
      </c>
      <c r="D45" s="2">
        <v>210000</v>
      </c>
      <c r="E45" s="2">
        <v>210000</v>
      </c>
      <c r="F45" s="2">
        <v>240000</v>
      </c>
      <c r="G45" s="5">
        <v>400000</v>
      </c>
      <c r="H45" s="5">
        <v>550000</v>
      </c>
    </row>
    <row r="46" spans="1:8" x14ac:dyDescent="0.3">
      <c r="A46" s="9" t="s">
        <v>52</v>
      </c>
      <c r="B46" s="2">
        <v>160000</v>
      </c>
      <c r="C46" s="2">
        <v>170000</v>
      </c>
      <c r="D46" s="2">
        <v>210000</v>
      </c>
      <c r="E46" s="2">
        <v>210000</v>
      </c>
      <c r="F46" s="2">
        <v>240000</v>
      </c>
      <c r="G46" s="5">
        <v>400000</v>
      </c>
      <c r="H46" s="5">
        <v>550000</v>
      </c>
    </row>
    <row r="47" spans="1:8" x14ac:dyDescent="0.3">
      <c r="A47" s="9" t="s">
        <v>53</v>
      </c>
      <c r="B47" s="2">
        <v>160000</v>
      </c>
      <c r="C47" s="2">
        <v>170000</v>
      </c>
      <c r="D47" s="5">
        <v>210000</v>
      </c>
      <c r="E47" s="2">
        <v>210000</v>
      </c>
      <c r="F47" s="2">
        <v>240000</v>
      </c>
      <c r="G47" s="5">
        <v>400000</v>
      </c>
      <c r="H47" s="5">
        <v>550000</v>
      </c>
    </row>
    <row r="48" spans="1:8" x14ac:dyDescent="0.3">
      <c r="A48" s="15" t="s">
        <v>54</v>
      </c>
      <c r="B48" s="3">
        <v>180000</v>
      </c>
      <c r="C48" s="3">
        <v>190000</v>
      </c>
      <c r="D48" s="3">
        <v>250000</v>
      </c>
      <c r="E48" s="3">
        <v>250000</v>
      </c>
      <c r="F48" s="3">
        <v>300000</v>
      </c>
      <c r="G48" s="6">
        <v>550000</v>
      </c>
      <c r="H48" s="6">
        <v>700000</v>
      </c>
    </row>
    <row r="49" spans="1:8" x14ac:dyDescent="0.3">
      <c r="A49" s="15" t="s">
        <v>55</v>
      </c>
      <c r="B49" s="6">
        <v>180000</v>
      </c>
      <c r="C49" s="6">
        <v>190000</v>
      </c>
      <c r="D49" s="3">
        <v>250000</v>
      </c>
      <c r="E49" s="3">
        <v>250000</v>
      </c>
      <c r="F49" s="3">
        <v>300000</v>
      </c>
      <c r="G49" s="6">
        <v>600000</v>
      </c>
      <c r="H49" s="6">
        <v>750000</v>
      </c>
    </row>
    <row r="50" spans="1:8" x14ac:dyDescent="0.3">
      <c r="A50" s="9" t="s">
        <v>56</v>
      </c>
      <c r="B50" s="2">
        <v>160000</v>
      </c>
      <c r="C50" s="2">
        <v>170000</v>
      </c>
      <c r="D50" s="2">
        <v>210000</v>
      </c>
      <c r="E50" s="2">
        <v>230000</v>
      </c>
      <c r="F50" s="2">
        <v>260000</v>
      </c>
      <c r="G50" s="5">
        <v>450000</v>
      </c>
      <c r="H50" s="5">
        <v>600000</v>
      </c>
    </row>
    <row r="51" spans="1:8" x14ac:dyDescent="0.3">
      <c r="A51" s="9" t="s">
        <v>57</v>
      </c>
      <c r="B51" s="2">
        <v>160000</v>
      </c>
      <c r="C51" s="2">
        <v>170000</v>
      </c>
      <c r="D51" s="2">
        <v>210000</v>
      </c>
      <c r="E51" s="2">
        <v>230000</v>
      </c>
      <c r="F51" s="2">
        <v>260000</v>
      </c>
      <c r="G51" s="5">
        <v>450000</v>
      </c>
      <c r="H51" s="5">
        <v>600000</v>
      </c>
    </row>
    <row r="52" spans="1:8" x14ac:dyDescent="0.3">
      <c r="A52" s="9" t="s">
        <v>58</v>
      </c>
      <c r="B52" s="2">
        <v>170000</v>
      </c>
      <c r="C52" s="2">
        <v>170000</v>
      </c>
      <c r="D52" s="2">
        <v>210000</v>
      </c>
      <c r="E52" s="2">
        <v>230000</v>
      </c>
      <c r="F52" s="2">
        <v>260000</v>
      </c>
      <c r="G52" s="2">
        <v>450000</v>
      </c>
      <c r="H52" s="5">
        <v>600000</v>
      </c>
    </row>
    <row r="53" spans="1:8" x14ac:dyDescent="0.3">
      <c r="A53" s="9" t="s">
        <v>59</v>
      </c>
      <c r="B53" s="2">
        <v>170000</v>
      </c>
      <c r="C53" s="2">
        <v>170000</v>
      </c>
      <c r="D53" s="2">
        <v>210000</v>
      </c>
      <c r="E53" s="2">
        <v>230000</v>
      </c>
      <c r="F53" s="2">
        <v>260000</v>
      </c>
      <c r="G53" s="2">
        <v>450000</v>
      </c>
      <c r="H53" s="2">
        <v>450000</v>
      </c>
    </row>
    <row r="54" spans="1:8" x14ac:dyDescent="0.3">
      <c r="A54" s="9" t="s">
        <v>60</v>
      </c>
      <c r="B54" s="2">
        <v>170000</v>
      </c>
      <c r="C54" s="5">
        <v>170000</v>
      </c>
      <c r="D54" s="2">
        <v>210000</v>
      </c>
      <c r="E54" s="2">
        <v>230000</v>
      </c>
      <c r="F54" s="2">
        <v>260000</v>
      </c>
      <c r="G54" s="2">
        <v>450000</v>
      </c>
      <c r="H54" s="5">
        <v>600000</v>
      </c>
    </row>
    <row r="55" spans="1:8" x14ac:dyDescent="0.3">
      <c r="A55" s="15" t="s">
        <v>61</v>
      </c>
      <c r="B55" s="6">
        <v>150000</v>
      </c>
      <c r="C55" s="6">
        <v>160000</v>
      </c>
      <c r="D55" s="6">
        <v>210000</v>
      </c>
      <c r="E55" s="6">
        <v>270000</v>
      </c>
      <c r="F55" s="3">
        <v>380000</v>
      </c>
      <c r="G55" s="3">
        <v>600000</v>
      </c>
      <c r="H55" s="6">
        <v>750000</v>
      </c>
    </row>
    <row r="56" spans="1:8" x14ac:dyDescent="0.3">
      <c r="A56" s="15" t="s">
        <v>62</v>
      </c>
      <c r="B56" s="6">
        <v>150000</v>
      </c>
      <c r="C56" s="6">
        <v>160000</v>
      </c>
      <c r="D56" s="6">
        <v>240000</v>
      </c>
      <c r="E56" s="6">
        <v>270000</v>
      </c>
      <c r="F56" s="6">
        <v>380000</v>
      </c>
      <c r="G56" s="6">
        <v>700000</v>
      </c>
      <c r="H56" s="6">
        <v>850000</v>
      </c>
    </row>
    <row r="57" spans="1:8" x14ac:dyDescent="0.3">
      <c r="A57" s="9" t="s">
        <v>63</v>
      </c>
      <c r="B57" s="2">
        <v>170000</v>
      </c>
      <c r="C57" s="5">
        <v>140000</v>
      </c>
      <c r="D57" s="2">
        <v>210000</v>
      </c>
      <c r="E57" s="5">
        <v>180000</v>
      </c>
      <c r="F57" s="2">
        <v>380000</v>
      </c>
      <c r="G57" s="5">
        <v>450000</v>
      </c>
      <c r="H57" s="2">
        <v>600000</v>
      </c>
    </row>
    <row r="58" spans="1:8" x14ac:dyDescent="0.3">
      <c r="A58" s="9" t="s">
        <v>64</v>
      </c>
      <c r="B58" s="2">
        <v>150000</v>
      </c>
      <c r="C58" s="5">
        <v>140000</v>
      </c>
      <c r="D58" s="2">
        <v>210000</v>
      </c>
      <c r="E58" s="2">
        <v>230000</v>
      </c>
      <c r="F58" s="2">
        <v>380000</v>
      </c>
      <c r="G58" s="5">
        <v>450000</v>
      </c>
      <c r="H58" s="2">
        <v>600000</v>
      </c>
    </row>
    <row r="59" spans="1:8" x14ac:dyDescent="0.3">
      <c r="A59" s="9" t="s">
        <v>65</v>
      </c>
      <c r="B59" s="2">
        <v>150000</v>
      </c>
      <c r="C59" s="2">
        <v>170000</v>
      </c>
      <c r="D59" s="2">
        <v>210000</v>
      </c>
      <c r="E59" s="2">
        <v>230000</v>
      </c>
      <c r="F59" s="2">
        <v>250000</v>
      </c>
      <c r="G59" s="2">
        <v>450000</v>
      </c>
      <c r="H59" s="2">
        <v>600000</v>
      </c>
    </row>
    <row r="60" spans="1:8" x14ac:dyDescent="0.3">
      <c r="A60" s="9" t="s">
        <v>66</v>
      </c>
      <c r="B60" s="2">
        <v>150000</v>
      </c>
      <c r="C60" s="2">
        <v>170000</v>
      </c>
      <c r="D60" s="2">
        <v>210000</v>
      </c>
      <c r="E60" s="5">
        <v>200000</v>
      </c>
      <c r="F60" s="2">
        <v>250000</v>
      </c>
      <c r="G60" s="2">
        <v>450000</v>
      </c>
      <c r="H60" s="5">
        <v>600000</v>
      </c>
    </row>
    <row r="61" spans="1:8" x14ac:dyDescent="0.3">
      <c r="A61" s="9" t="s">
        <v>67</v>
      </c>
      <c r="B61" s="2">
        <v>160000</v>
      </c>
      <c r="C61" s="2">
        <v>170000</v>
      </c>
      <c r="D61" s="5">
        <v>170000</v>
      </c>
      <c r="E61" s="2">
        <v>230000</v>
      </c>
      <c r="F61" s="2">
        <v>380000</v>
      </c>
      <c r="G61" s="2">
        <v>450000</v>
      </c>
      <c r="H61" s="5">
        <v>600000</v>
      </c>
    </row>
    <row r="62" spans="1:8" x14ac:dyDescent="0.3">
      <c r="A62" s="15" t="s">
        <v>68</v>
      </c>
      <c r="B62" s="3">
        <v>180000</v>
      </c>
      <c r="C62" s="3">
        <v>180000</v>
      </c>
      <c r="D62" s="3">
        <v>240000</v>
      </c>
      <c r="E62" s="6">
        <v>250000</v>
      </c>
      <c r="F62" s="3">
        <v>380000</v>
      </c>
      <c r="G62" s="3">
        <v>600000</v>
      </c>
      <c r="H62" s="6">
        <v>750000</v>
      </c>
    </row>
    <row r="63" spans="1:8" x14ac:dyDescent="0.3">
      <c r="A63" s="15" t="s">
        <v>69</v>
      </c>
      <c r="B63" s="6">
        <v>150000</v>
      </c>
      <c r="C63" s="6">
        <v>160000</v>
      </c>
      <c r="D63" s="3">
        <v>230000</v>
      </c>
      <c r="E63" s="6">
        <v>250000</v>
      </c>
      <c r="F63" s="6">
        <v>380000</v>
      </c>
      <c r="G63" s="6">
        <v>700000</v>
      </c>
      <c r="H63" s="6">
        <v>850000</v>
      </c>
    </row>
    <row r="64" spans="1:8" x14ac:dyDescent="0.3">
      <c r="A64" s="9" t="s">
        <v>70</v>
      </c>
      <c r="B64" s="2">
        <v>160000</v>
      </c>
      <c r="C64" s="5">
        <v>140000</v>
      </c>
      <c r="D64" s="2">
        <v>210000</v>
      </c>
      <c r="E64" s="2">
        <v>230000</v>
      </c>
      <c r="F64" s="2">
        <v>380000</v>
      </c>
      <c r="G64" s="5">
        <v>550000</v>
      </c>
      <c r="H64" s="2">
        <v>500000</v>
      </c>
    </row>
    <row r="65" spans="1:8" x14ac:dyDescent="0.3">
      <c r="A65" s="9" t="s">
        <v>71</v>
      </c>
      <c r="B65" s="2">
        <v>160000</v>
      </c>
      <c r="C65" s="2">
        <v>170000</v>
      </c>
      <c r="D65" s="2">
        <v>210000</v>
      </c>
      <c r="E65" s="2">
        <v>230000</v>
      </c>
      <c r="F65" s="2">
        <v>260000</v>
      </c>
      <c r="G65" s="5">
        <v>550000</v>
      </c>
      <c r="H65" s="2">
        <v>500000</v>
      </c>
    </row>
    <row r="66" spans="1:8" x14ac:dyDescent="0.3">
      <c r="A66" s="9" t="s">
        <v>72</v>
      </c>
      <c r="B66" s="2">
        <v>160000</v>
      </c>
      <c r="C66" s="2">
        <v>170000</v>
      </c>
      <c r="D66" s="2">
        <v>210000</v>
      </c>
      <c r="E66" s="2">
        <v>230000</v>
      </c>
      <c r="F66" s="2">
        <v>380000</v>
      </c>
      <c r="G66" s="5">
        <v>550000</v>
      </c>
      <c r="H66" s="5">
        <v>600000</v>
      </c>
    </row>
    <row r="67" spans="1:8" x14ac:dyDescent="0.3">
      <c r="A67" s="9" t="s">
        <v>73</v>
      </c>
      <c r="B67" s="2">
        <v>160000</v>
      </c>
      <c r="C67" s="2">
        <v>170000</v>
      </c>
      <c r="D67" s="2">
        <v>210000</v>
      </c>
      <c r="E67" s="2">
        <v>230000</v>
      </c>
      <c r="F67" s="2">
        <v>260000</v>
      </c>
      <c r="G67" s="2">
        <v>550000</v>
      </c>
      <c r="H67" s="2">
        <v>700000</v>
      </c>
    </row>
    <row r="68" spans="1:8" x14ac:dyDescent="0.3">
      <c r="A68" s="9" t="s">
        <v>74</v>
      </c>
      <c r="B68" s="2">
        <v>170000</v>
      </c>
      <c r="C68" s="2">
        <v>180000</v>
      </c>
      <c r="D68" s="2">
        <v>210000</v>
      </c>
      <c r="E68" s="2">
        <v>230000</v>
      </c>
      <c r="F68" s="2">
        <v>260000</v>
      </c>
      <c r="G68" s="2">
        <v>550000</v>
      </c>
      <c r="H68" s="2">
        <v>700000</v>
      </c>
    </row>
    <row r="69" spans="1:8" x14ac:dyDescent="0.3">
      <c r="A69" s="15" t="s">
        <v>75</v>
      </c>
      <c r="B69" s="6">
        <v>150000</v>
      </c>
      <c r="C69" s="6">
        <v>160000</v>
      </c>
      <c r="D69" s="6">
        <v>240000</v>
      </c>
      <c r="E69" s="6">
        <v>240000</v>
      </c>
      <c r="F69" s="3">
        <v>300000</v>
      </c>
      <c r="G69" s="3">
        <v>700000</v>
      </c>
      <c r="H69" s="3">
        <v>850000</v>
      </c>
    </row>
    <row r="70" spans="1:8" x14ac:dyDescent="0.3">
      <c r="A70" s="15" t="s">
        <v>76</v>
      </c>
      <c r="B70" s="6">
        <v>150000</v>
      </c>
      <c r="C70" s="6">
        <v>160000</v>
      </c>
      <c r="D70" s="6">
        <v>220000</v>
      </c>
      <c r="E70" s="6">
        <v>240000</v>
      </c>
      <c r="F70" s="6">
        <v>380000</v>
      </c>
      <c r="G70" s="3">
        <v>750000</v>
      </c>
      <c r="H70" s="3">
        <v>900000</v>
      </c>
    </row>
    <row r="71" spans="1:8" x14ac:dyDescent="0.3">
      <c r="A71" s="9" t="s">
        <v>77</v>
      </c>
      <c r="B71" s="2">
        <v>170000</v>
      </c>
      <c r="C71" s="5">
        <v>140000</v>
      </c>
      <c r="D71" s="5">
        <v>180000</v>
      </c>
      <c r="E71" s="5">
        <v>180000</v>
      </c>
      <c r="F71" s="5">
        <v>350000</v>
      </c>
      <c r="G71" s="2">
        <v>550000</v>
      </c>
      <c r="H71" s="2">
        <v>700000</v>
      </c>
    </row>
    <row r="72" spans="1:8" x14ac:dyDescent="0.3">
      <c r="A72" s="9" t="s">
        <v>78</v>
      </c>
      <c r="B72" s="5">
        <v>130000</v>
      </c>
      <c r="C72" s="5">
        <v>140000</v>
      </c>
      <c r="D72" s="5">
        <v>180000</v>
      </c>
      <c r="E72" s="5">
        <v>180000</v>
      </c>
      <c r="F72" s="2">
        <v>260000</v>
      </c>
      <c r="G72" s="2">
        <v>550000</v>
      </c>
      <c r="H72" s="2">
        <v>700000</v>
      </c>
    </row>
    <row r="73" spans="1:8" x14ac:dyDescent="0.3">
      <c r="A73" s="9" t="s">
        <v>79</v>
      </c>
      <c r="B73" s="2">
        <v>170000</v>
      </c>
      <c r="C73" s="2">
        <v>180000</v>
      </c>
      <c r="D73" s="2">
        <v>210000</v>
      </c>
      <c r="E73" s="5">
        <v>180000</v>
      </c>
      <c r="F73" s="2">
        <v>260000</v>
      </c>
      <c r="G73" s="2">
        <v>550000</v>
      </c>
      <c r="H73" s="2">
        <v>700000</v>
      </c>
    </row>
    <row r="74" spans="1:8" x14ac:dyDescent="0.3">
      <c r="A74" s="9" t="s">
        <v>80</v>
      </c>
      <c r="B74" s="5">
        <v>130000</v>
      </c>
      <c r="C74" s="5">
        <v>140000</v>
      </c>
      <c r="D74" s="2">
        <v>210000</v>
      </c>
      <c r="E74" s="2">
        <v>230000</v>
      </c>
      <c r="F74" s="2">
        <v>260000</v>
      </c>
      <c r="G74" s="2">
        <v>550000</v>
      </c>
      <c r="H74" s="5">
        <v>700000</v>
      </c>
    </row>
    <row r="75" spans="1:8" x14ac:dyDescent="0.3">
      <c r="A75" s="9" t="s">
        <v>81</v>
      </c>
      <c r="B75" s="5">
        <v>130000</v>
      </c>
      <c r="C75" s="5">
        <v>140000</v>
      </c>
      <c r="D75" s="5">
        <v>180000</v>
      </c>
      <c r="E75" s="5">
        <v>180000</v>
      </c>
      <c r="F75" s="5">
        <v>210000</v>
      </c>
      <c r="G75" s="2">
        <v>550000</v>
      </c>
      <c r="H75" s="5">
        <v>700000</v>
      </c>
    </row>
    <row r="76" spans="1:8" x14ac:dyDescent="0.3">
      <c r="A76" s="15" t="s">
        <v>82</v>
      </c>
      <c r="B76" s="6">
        <v>150000</v>
      </c>
      <c r="C76" s="6">
        <v>160000</v>
      </c>
      <c r="D76" s="3">
        <v>260000</v>
      </c>
      <c r="E76" s="6">
        <v>240000</v>
      </c>
      <c r="F76" s="6">
        <v>270000</v>
      </c>
      <c r="G76" s="6">
        <v>700000</v>
      </c>
      <c r="H76" s="6">
        <v>850000</v>
      </c>
    </row>
    <row r="77" spans="1:8" x14ac:dyDescent="0.3">
      <c r="A77" s="15" t="s">
        <v>83</v>
      </c>
      <c r="B77" s="6">
        <v>150000</v>
      </c>
      <c r="C77" s="3">
        <v>160000</v>
      </c>
      <c r="D77" s="3">
        <v>260000</v>
      </c>
      <c r="E77" s="6">
        <v>260000</v>
      </c>
      <c r="F77" s="6">
        <v>270000</v>
      </c>
      <c r="G77" s="6">
        <v>750000</v>
      </c>
      <c r="H77" s="6">
        <v>900000</v>
      </c>
    </row>
    <row r="78" spans="1:8" x14ac:dyDescent="0.3">
      <c r="A78" s="9" t="s">
        <v>84</v>
      </c>
      <c r="B78" s="5">
        <v>160000</v>
      </c>
      <c r="C78" s="2">
        <v>140000</v>
      </c>
      <c r="D78" s="2">
        <v>210000</v>
      </c>
      <c r="E78" s="2">
        <v>230000</v>
      </c>
      <c r="F78" s="5">
        <v>210000</v>
      </c>
      <c r="G78" s="5">
        <v>550000</v>
      </c>
      <c r="H78" s="5">
        <v>700000</v>
      </c>
    </row>
    <row r="79" spans="1:8" x14ac:dyDescent="0.3">
      <c r="A79" s="9" t="s">
        <v>85</v>
      </c>
      <c r="B79" s="5">
        <v>160000</v>
      </c>
      <c r="C79" s="2">
        <v>180000</v>
      </c>
      <c r="D79" s="2">
        <v>210000</v>
      </c>
      <c r="E79" s="2">
        <v>230000</v>
      </c>
      <c r="F79" s="2">
        <v>260000</v>
      </c>
      <c r="G79" s="5">
        <v>550000</v>
      </c>
      <c r="H79" s="5">
        <v>700000</v>
      </c>
    </row>
    <row r="80" spans="1:8" x14ac:dyDescent="0.3">
      <c r="A80" s="9" t="s">
        <v>86</v>
      </c>
      <c r="B80" s="2">
        <v>170000</v>
      </c>
      <c r="C80" s="5">
        <v>140000</v>
      </c>
      <c r="D80" s="2">
        <v>210000</v>
      </c>
      <c r="E80" s="2">
        <v>230000</v>
      </c>
      <c r="F80" s="2">
        <v>260000</v>
      </c>
      <c r="G80" s="5">
        <v>550000</v>
      </c>
      <c r="H80" s="2">
        <v>700000</v>
      </c>
    </row>
    <row r="81" spans="1:8" x14ac:dyDescent="0.3">
      <c r="A81" s="9" t="s">
        <v>87</v>
      </c>
      <c r="B81" s="5">
        <v>150000</v>
      </c>
      <c r="C81" s="2">
        <v>180000</v>
      </c>
      <c r="D81" s="2">
        <v>210000</v>
      </c>
      <c r="E81" s="2">
        <v>230000</v>
      </c>
      <c r="F81" s="2">
        <v>260000</v>
      </c>
      <c r="G81" s="2">
        <v>550000</v>
      </c>
      <c r="H81" s="2">
        <v>700000</v>
      </c>
    </row>
    <row r="82" spans="1:8" x14ac:dyDescent="0.3">
      <c r="A82" s="9" t="s">
        <v>88</v>
      </c>
      <c r="B82" s="2">
        <v>170000</v>
      </c>
      <c r="C82" s="2">
        <v>180000</v>
      </c>
      <c r="D82" s="2">
        <v>210000</v>
      </c>
      <c r="E82" s="2">
        <v>230000</v>
      </c>
      <c r="F82" s="2">
        <v>260000</v>
      </c>
      <c r="G82" s="5">
        <v>550000</v>
      </c>
      <c r="H82" s="2">
        <v>700000</v>
      </c>
    </row>
    <row r="83" spans="1:8" x14ac:dyDescent="0.3">
      <c r="A83" s="15" t="s">
        <v>89</v>
      </c>
      <c r="B83" s="4">
        <v>180000</v>
      </c>
      <c r="C83" s="4">
        <v>190000</v>
      </c>
      <c r="D83" s="3">
        <v>260000</v>
      </c>
      <c r="E83" s="3">
        <v>270000</v>
      </c>
      <c r="F83" s="3">
        <v>320000</v>
      </c>
      <c r="G83" s="6">
        <v>700000</v>
      </c>
      <c r="H83" s="6">
        <v>850000</v>
      </c>
    </row>
    <row r="84" spans="1:8" x14ac:dyDescent="0.3">
      <c r="A84" s="15" t="s">
        <v>90</v>
      </c>
      <c r="B84" s="4">
        <v>180000</v>
      </c>
      <c r="C84" s="6">
        <v>150000</v>
      </c>
      <c r="D84" s="3">
        <v>260000</v>
      </c>
      <c r="E84" s="3">
        <v>270000</v>
      </c>
      <c r="F84" s="3">
        <v>380000</v>
      </c>
      <c r="G84" s="6">
        <v>750000</v>
      </c>
      <c r="H84" s="6">
        <v>900000</v>
      </c>
    </row>
    <row r="85" spans="1:8" x14ac:dyDescent="0.3">
      <c r="A85" s="9" t="s">
        <v>91</v>
      </c>
      <c r="B85" s="5">
        <v>160000</v>
      </c>
      <c r="C85" s="5">
        <v>150000</v>
      </c>
      <c r="D85" s="2">
        <v>210000</v>
      </c>
      <c r="E85" s="2">
        <v>230000</v>
      </c>
      <c r="F85" s="2">
        <v>350000</v>
      </c>
      <c r="G85" s="5">
        <v>550000</v>
      </c>
      <c r="H85" s="5">
        <v>700000</v>
      </c>
    </row>
    <row r="86" spans="1:8" x14ac:dyDescent="0.3">
      <c r="A86" s="9" t="s">
        <v>92</v>
      </c>
      <c r="B86" s="2">
        <v>160000</v>
      </c>
      <c r="C86" s="5">
        <v>140000</v>
      </c>
      <c r="D86" s="2">
        <v>210000</v>
      </c>
      <c r="E86" s="2">
        <v>230000</v>
      </c>
      <c r="F86" s="2">
        <v>260000</v>
      </c>
      <c r="G86" s="5">
        <v>550000</v>
      </c>
      <c r="H86" s="5">
        <v>700000</v>
      </c>
    </row>
    <row r="87" spans="1:8" x14ac:dyDescent="0.3">
      <c r="A87" s="9" t="s">
        <v>93</v>
      </c>
      <c r="B87" s="2">
        <v>160000</v>
      </c>
      <c r="C87" s="5">
        <v>140000</v>
      </c>
      <c r="D87" s="2">
        <v>210000</v>
      </c>
      <c r="E87" s="2">
        <v>230000</v>
      </c>
      <c r="F87" s="2">
        <v>260000</v>
      </c>
      <c r="G87" s="2">
        <v>550000</v>
      </c>
      <c r="H87" s="5">
        <v>700000</v>
      </c>
    </row>
    <row r="88" spans="1:8" x14ac:dyDescent="0.3">
      <c r="A88" s="9" t="s">
        <v>94</v>
      </c>
      <c r="B88" s="2">
        <v>160000</v>
      </c>
      <c r="C88" s="2">
        <v>190000</v>
      </c>
      <c r="D88" s="5">
        <v>170000</v>
      </c>
      <c r="E88" s="2">
        <v>230000</v>
      </c>
      <c r="F88" s="2">
        <v>260000</v>
      </c>
      <c r="G88" s="2">
        <v>550000</v>
      </c>
      <c r="H88" s="5">
        <v>700000</v>
      </c>
    </row>
    <row r="89" spans="1:8" x14ac:dyDescent="0.3">
      <c r="A89" s="9" t="s">
        <v>95</v>
      </c>
      <c r="B89" s="2">
        <v>160000</v>
      </c>
      <c r="C89" s="2">
        <v>190000</v>
      </c>
      <c r="D89" s="5">
        <v>170000</v>
      </c>
      <c r="E89" s="5">
        <v>180000</v>
      </c>
      <c r="F89" s="2">
        <v>260000</v>
      </c>
      <c r="G89" s="2">
        <v>550000</v>
      </c>
      <c r="H89" s="2">
        <v>700000</v>
      </c>
    </row>
    <row r="90" spans="1:8" x14ac:dyDescent="0.3">
      <c r="A90" s="15" t="s">
        <v>96</v>
      </c>
      <c r="B90" s="4">
        <v>180000</v>
      </c>
      <c r="C90" s="3">
        <v>210000</v>
      </c>
      <c r="D90" s="6">
        <v>220000</v>
      </c>
      <c r="E90" s="6">
        <v>240000</v>
      </c>
      <c r="F90" s="3">
        <v>320000</v>
      </c>
      <c r="G90" s="3">
        <v>700000</v>
      </c>
      <c r="H90" s="3">
        <v>850000</v>
      </c>
    </row>
    <row r="91" spans="1:8" x14ac:dyDescent="0.3">
      <c r="A91" s="15" t="s">
        <v>97</v>
      </c>
      <c r="B91" s="4">
        <v>180000</v>
      </c>
      <c r="C91" s="6">
        <v>160000</v>
      </c>
      <c r="D91" s="3">
        <v>260000</v>
      </c>
      <c r="E91" s="6">
        <v>240000</v>
      </c>
      <c r="F91" s="3">
        <v>320000</v>
      </c>
      <c r="G91" s="3">
        <v>800000</v>
      </c>
      <c r="H91" s="3">
        <v>950000</v>
      </c>
    </row>
    <row r="92" spans="1:8" x14ac:dyDescent="0.3">
      <c r="A92" s="9" t="s">
        <v>98</v>
      </c>
      <c r="B92" s="2">
        <v>160000</v>
      </c>
      <c r="C92" s="5">
        <v>140000</v>
      </c>
      <c r="D92" s="2">
        <v>210000</v>
      </c>
      <c r="E92" s="2">
        <v>230000</v>
      </c>
      <c r="F92" s="5">
        <v>350000</v>
      </c>
      <c r="G92" s="2">
        <v>550000</v>
      </c>
      <c r="H92" s="2">
        <v>700000</v>
      </c>
    </row>
    <row r="93" spans="1:8" x14ac:dyDescent="0.3">
      <c r="A93" s="9" t="s">
        <v>99</v>
      </c>
      <c r="B93" s="2">
        <v>160000</v>
      </c>
      <c r="C93" s="5">
        <v>140000</v>
      </c>
      <c r="D93" s="2">
        <v>210000</v>
      </c>
      <c r="E93" s="2">
        <v>230000</v>
      </c>
      <c r="F93" s="5">
        <v>350000</v>
      </c>
      <c r="G93" s="2">
        <v>550000</v>
      </c>
      <c r="H93" s="2">
        <v>700000</v>
      </c>
    </row>
    <row r="94" spans="1:8" x14ac:dyDescent="0.3">
      <c r="A94" s="9" t="s">
        <v>100</v>
      </c>
      <c r="B94" s="2">
        <v>160000</v>
      </c>
      <c r="C94" s="5">
        <v>140000</v>
      </c>
      <c r="D94" s="2">
        <v>210000</v>
      </c>
      <c r="E94" s="2">
        <v>230000</v>
      </c>
      <c r="F94" s="2">
        <v>260000</v>
      </c>
      <c r="G94" s="2">
        <v>550000</v>
      </c>
      <c r="H94" s="2">
        <v>700000</v>
      </c>
    </row>
    <row r="95" spans="1:8" x14ac:dyDescent="0.3">
      <c r="A95" s="9" t="s">
        <v>101</v>
      </c>
      <c r="B95" s="2">
        <v>160000</v>
      </c>
      <c r="C95" s="2">
        <v>190000</v>
      </c>
      <c r="D95" s="2">
        <v>210000</v>
      </c>
      <c r="E95" s="2">
        <v>230000</v>
      </c>
      <c r="F95" s="2">
        <v>260000</v>
      </c>
      <c r="G95" s="2">
        <v>550000</v>
      </c>
      <c r="H95" s="2">
        <v>700000</v>
      </c>
    </row>
    <row r="96" spans="1:8" x14ac:dyDescent="0.3">
      <c r="A96" s="9" t="s">
        <v>102</v>
      </c>
      <c r="B96" s="2">
        <v>160000</v>
      </c>
      <c r="C96" s="2">
        <v>190000</v>
      </c>
      <c r="D96" s="2">
        <v>210000</v>
      </c>
      <c r="E96" s="5">
        <v>180000</v>
      </c>
      <c r="F96" s="2">
        <v>260000</v>
      </c>
      <c r="G96" s="2">
        <v>550000</v>
      </c>
      <c r="H96" s="2">
        <v>700000</v>
      </c>
    </row>
    <row r="97" spans="1:8" x14ac:dyDescent="0.3">
      <c r="A97" s="15" t="s">
        <v>103</v>
      </c>
      <c r="B97" s="3">
        <v>180000</v>
      </c>
      <c r="C97" s="6">
        <v>160000</v>
      </c>
      <c r="D97" s="3">
        <v>260000</v>
      </c>
      <c r="E97" s="3">
        <v>270000</v>
      </c>
      <c r="F97" s="3">
        <v>400000</v>
      </c>
      <c r="G97" s="3">
        <v>650000</v>
      </c>
      <c r="H97" s="3">
        <v>800000</v>
      </c>
    </row>
    <row r="98" spans="1:8" x14ac:dyDescent="0.3">
      <c r="A98" s="15" t="s">
        <v>104</v>
      </c>
      <c r="B98" s="3">
        <v>180000</v>
      </c>
      <c r="C98" s="6">
        <v>160000</v>
      </c>
      <c r="D98" s="3">
        <v>260000</v>
      </c>
      <c r="E98" s="6">
        <v>240000</v>
      </c>
      <c r="F98" s="6">
        <v>380000</v>
      </c>
      <c r="G98" s="3">
        <v>700000</v>
      </c>
      <c r="H98" s="3">
        <v>850000</v>
      </c>
    </row>
    <row r="99" spans="1:8" x14ac:dyDescent="0.3">
      <c r="A99" s="9" t="s">
        <v>105</v>
      </c>
      <c r="B99" s="2">
        <v>160000</v>
      </c>
      <c r="C99" s="5">
        <v>140000</v>
      </c>
      <c r="D99" s="5">
        <v>180000</v>
      </c>
      <c r="E99" s="2">
        <v>230000</v>
      </c>
      <c r="F99" s="5">
        <v>350000</v>
      </c>
      <c r="G99" s="2">
        <v>500000</v>
      </c>
      <c r="H99" s="2">
        <v>650000</v>
      </c>
    </row>
    <row r="100" spans="1:8" x14ac:dyDescent="0.3">
      <c r="A100" s="9" t="s">
        <v>106</v>
      </c>
      <c r="B100" s="5">
        <v>120000</v>
      </c>
      <c r="C100" s="5">
        <v>140000</v>
      </c>
      <c r="D100" s="5">
        <v>170000</v>
      </c>
      <c r="E100" s="5">
        <v>190000</v>
      </c>
      <c r="F100" s="2">
        <v>350000</v>
      </c>
      <c r="G100" s="2">
        <v>500000</v>
      </c>
      <c r="H100" s="2">
        <v>650000</v>
      </c>
    </row>
    <row r="101" spans="1:8" x14ac:dyDescent="0.3">
      <c r="A101" s="9" t="s">
        <v>107</v>
      </c>
      <c r="B101" s="2">
        <v>160000</v>
      </c>
      <c r="C101" s="2">
        <v>170000</v>
      </c>
      <c r="D101" s="2">
        <v>180000</v>
      </c>
      <c r="E101" s="2">
        <v>200000</v>
      </c>
      <c r="F101" s="2">
        <v>350000</v>
      </c>
      <c r="G101" s="2">
        <v>500000</v>
      </c>
      <c r="H101" s="2">
        <v>650000</v>
      </c>
    </row>
    <row r="102" spans="1:8" x14ac:dyDescent="0.3">
      <c r="A102" s="9" t="s">
        <v>108</v>
      </c>
      <c r="B102" s="2">
        <v>160000</v>
      </c>
      <c r="C102" s="5">
        <v>140000</v>
      </c>
      <c r="D102" s="2">
        <v>180000</v>
      </c>
      <c r="E102" s="2">
        <v>200000</v>
      </c>
      <c r="F102" s="2">
        <v>230000</v>
      </c>
      <c r="G102" s="2">
        <v>500000</v>
      </c>
      <c r="H102" s="2">
        <v>650000</v>
      </c>
    </row>
    <row r="103" spans="1:8" x14ac:dyDescent="0.3">
      <c r="A103" s="9" t="s">
        <v>109</v>
      </c>
      <c r="B103" s="2">
        <v>160000</v>
      </c>
      <c r="C103" s="5">
        <v>140000</v>
      </c>
      <c r="D103" s="2">
        <v>180000</v>
      </c>
      <c r="E103" s="2">
        <v>200000</v>
      </c>
      <c r="F103" s="2">
        <v>230000</v>
      </c>
      <c r="G103" s="2">
        <v>500000</v>
      </c>
      <c r="H103" s="2">
        <v>650000</v>
      </c>
    </row>
    <row r="104" spans="1:8" x14ac:dyDescent="0.3">
      <c r="A104" s="15" t="s">
        <v>110</v>
      </c>
      <c r="B104" s="3">
        <v>180000</v>
      </c>
      <c r="C104" s="6">
        <v>160000</v>
      </c>
      <c r="D104" s="3">
        <v>240000</v>
      </c>
      <c r="E104" s="3">
        <v>260000</v>
      </c>
      <c r="F104" s="3">
        <v>300000</v>
      </c>
      <c r="G104" s="3">
        <v>650000</v>
      </c>
      <c r="H104" s="3">
        <v>800000</v>
      </c>
    </row>
    <row r="105" spans="1:8" x14ac:dyDescent="0.3">
      <c r="A105" s="15" t="s">
        <v>111</v>
      </c>
      <c r="B105" s="3">
        <v>180000</v>
      </c>
      <c r="C105" s="6">
        <v>160000</v>
      </c>
      <c r="D105" s="3">
        <v>240000</v>
      </c>
      <c r="E105" s="3">
        <v>260000</v>
      </c>
      <c r="F105" s="3">
        <v>300000</v>
      </c>
      <c r="G105" s="3">
        <v>700000</v>
      </c>
      <c r="H105" s="3">
        <v>850000</v>
      </c>
    </row>
    <row r="106" spans="1:8" x14ac:dyDescent="0.3">
      <c r="A106" s="9" t="s">
        <v>112</v>
      </c>
      <c r="B106" s="2">
        <v>160000</v>
      </c>
      <c r="C106" s="2">
        <v>170000</v>
      </c>
      <c r="D106" s="2">
        <v>180000</v>
      </c>
      <c r="E106" s="2">
        <v>200000</v>
      </c>
      <c r="F106" s="2">
        <v>230000</v>
      </c>
      <c r="G106" s="2">
        <v>500000</v>
      </c>
      <c r="H106" s="2">
        <v>650000</v>
      </c>
    </row>
    <row r="107" spans="1:8" x14ac:dyDescent="0.3">
      <c r="A107" s="9" t="s">
        <v>113</v>
      </c>
      <c r="B107" s="2">
        <v>160000</v>
      </c>
      <c r="C107" s="5">
        <v>130000</v>
      </c>
      <c r="D107" s="2">
        <v>180000</v>
      </c>
      <c r="E107" s="2">
        <v>200000</v>
      </c>
      <c r="F107" s="2">
        <v>230000</v>
      </c>
      <c r="G107" s="2">
        <v>500000</v>
      </c>
      <c r="H107" s="2">
        <v>650000</v>
      </c>
    </row>
    <row r="108" spans="1:8" x14ac:dyDescent="0.3">
      <c r="A108" s="9" t="s">
        <v>114</v>
      </c>
      <c r="B108" s="2">
        <v>160000</v>
      </c>
      <c r="C108" s="2">
        <v>170000</v>
      </c>
      <c r="D108" s="2">
        <v>180000</v>
      </c>
      <c r="E108" s="2">
        <v>200000</v>
      </c>
      <c r="F108" s="2">
        <v>230000</v>
      </c>
      <c r="G108" s="2">
        <v>500000</v>
      </c>
      <c r="H108" s="2">
        <v>650000</v>
      </c>
    </row>
    <row r="109" spans="1:8" x14ac:dyDescent="0.3">
      <c r="A109" s="9" t="s">
        <v>115</v>
      </c>
      <c r="B109" s="2">
        <v>160000</v>
      </c>
      <c r="C109" s="2">
        <v>170000</v>
      </c>
      <c r="D109" s="2">
        <v>180000</v>
      </c>
      <c r="E109" s="2">
        <v>200000</v>
      </c>
      <c r="F109" s="2">
        <v>230000</v>
      </c>
      <c r="G109" s="2">
        <v>500000</v>
      </c>
      <c r="H109" s="2">
        <v>650000</v>
      </c>
    </row>
    <row r="110" spans="1:8" x14ac:dyDescent="0.3">
      <c r="A110" s="9" t="s">
        <v>116</v>
      </c>
      <c r="B110" s="2">
        <v>160000</v>
      </c>
      <c r="C110" s="2">
        <v>170000</v>
      </c>
      <c r="D110" s="2">
        <v>180000</v>
      </c>
      <c r="E110" s="2">
        <v>200000</v>
      </c>
      <c r="F110" s="2">
        <v>230000</v>
      </c>
      <c r="G110" s="2">
        <v>500000</v>
      </c>
      <c r="H110" s="2">
        <v>650000</v>
      </c>
    </row>
    <row r="111" spans="1:8" x14ac:dyDescent="0.3">
      <c r="A111" s="15" t="s">
        <v>117</v>
      </c>
      <c r="B111" s="3">
        <v>150000</v>
      </c>
      <c r="C111" s="3">
        <v>170000</v>
      </c>
      <c r="D111" s="3">
        <v>240000</v>
      </c>
      <c r="E111" s="6">
        <v>250000</v>
      </c>
      <c r="F111" s="3">
        <v>300000</v>
      </c>
      <c r="G111" s="3">
        <v>650000</v>
      </c>
      <c r="H111" s="3">
        <v>800000</v>
      </c>
    </row>
    <row r="112" spans="1:8" x14ac:dyDescent="0.3">
      <c r="A112" s="15" t="s">
        <v>118</v>
      </c>
      <c r="B112" s="6">
        <v>140000</v>
      </c>
      <c r="C112" s="6">
        <v>150000</v>
      </c>
      <c r="D112" s="3">
        <v>240000</v>
      </c>
      <c r="E112" s="3">
        <v>260000</v>
      </c>
      <c r="F112" s="3">
        <v>300000</v>
      </c>
      <c r="G112" s="3">
        <v>700000</v>
      </c>
      <c r="H112" s="3">
        <v>850000</v>
      </c>
    </row>
    <row r="113" spans="1:8" x14ac:dyDescent="0.3">
      <c r="A113" s="9" t="s">
        <v>119</v>
      </c>
      <c r="B113" s="2">
        <v>140000</v>
      </c>
      <c r="C113" s="5">
        <v>120000</v>
      </c>
      <c r="D113" s="2">
        <v>180000</v>
      </c>
      <c r="E113" s="5">
        <v>160000</v>
      </c>
      <c r="F113" s="2">
        <v>230000</v>
      </c>
      <c r="G113" s="2">
        <v>500000</v>
      </c>
      <c r="H113" s="2">
        <v>650000</v>
      </c>
    </row>
    <row r="114" spans="1:8" x14ac:dyDescent="0.3">
      <c r="A114" s="9" t="s">
        <v>120</v>
      </c>
      <c r="B114" s="2">
        <v>140000</v>
      </c>
      <c r="C114" s="2">
        <v>160000</v>
      </c>
      <c r="D114" s="2">
        <v>180000</v>
      </c>
      <c r="E114" s="2">
        <v>200000</v>
      </c>
      <c r="F114" s="2">
        <v>230000</v>
      </c>
      <c r="G114" s="2">
        <v>500000</v>
      </c>
      <c r="H114" s="2">
        <v>650000</v>
      </c>
    </row>
    <row r="115" spans="1:8" x14ac:dyDescent="0.3">
      <c r="A115" s="9" t="s">
        <v>121</v>
      </c>
      <c r="B115" s="2">
        <v>140000</v>
      </c>
      <c r="C115" s="2">
        <v>160000</v>
      </c>
      <c r="D115" s="2">
        <v>180000</v>
      </c>
      <c r="E115" s="2">
        <v>200000</v>
      </c>
      <c r="F115" s="2">
        <v>230000</v>
      </c>
      <c r="G115" s="2">
        <v>500000</v>
      </c>
      <c r="H115" s="2">
        <v>650000</v>
      </c>
    </row>
    <row r="116" spans="1:8" x14ac:dyDescent="0.3">
      <c r="A116" s="9" t="s">
        <v>122</v>
      </c>
      <c r="B116" s="2">
        <v>140000</v>
      </c>
      <c r="C116" s="2">
        <v>160000</v>
      </c>
      <c r="D116" s="2">
        <v>180000</v>
      </c>
      <c r="E116" s="2">
        <v>200000</v>
      </c>
      <c r="F116" s="2">
        <v>230000</v>
      </c>
      <c r="G116" s="2">
        <v>500000</v>
      </c>
      <c r="H116" s="2">
        <v>650000</v>
      </c>
    </row>
    <row r="117" spans="1:8" x14ac:dyDescent="0.3">
      <c r="A117" s="9" t="s">
        <v>123</v>
      </c>
      <c r="B117" s="2">
        <v>140000</v>
      </c>
      <c r="C117" s="2">
        <v>160000</v>
      </c>
      <c r="D117" s="2">
        <v>180000</v>
      </c>
      <c r="E117" s="5">
        <v>140000</v>
      </c>
      <c r="F117" s="2">
        <v>230000</v>
      </c>
      <c r="G117" s="2">
        <v>500000</v>
      </c>
      <c r="H117" s="2">
        <v>650000</v>
      </c>
    </row>
    <row r="118" spans="1:8" x14ac:dyDescent="0.3">
      <c r="A118" s="15" t="s">
        <v>124</v>
      </c>
      <c r="B118" s="3">
        <v>180000</v>
      </c>
      <c r="C118" s="3">
        <v>190000</v>
      </c>
      <c r="D118" s="3">
        <v>240000</v>
      </c>
      <c r="E118" s="6">
        <v>210000</v>
      </c>
      <c r="F118" s="3">
        <v>300000</v>
      </c>
      <c r="G118" s="3">
        <v>650000</v>
      </c>
      <c r="H118" s="3">
        <v>800000</v>
      </c>
    </row>
    <row r="119" spans="1:8" x14ac:dyDescent="0.3">
      <c r="A119" s="15" t="s">
        <v>125</v>
      </c>
      <c r="B119" s="6">
        <v>140000</v>
      </c>
      <c r="C119" s="6">
        <v>150000</v>
      </c>
      <c r="D119" s="3">
        <v>240000</v>
      </c>
      <c r="E119" s="6">
        <v>200000</v>
      </c>
      <c r="F119" s="3">
        <v>300000</v>
      </c>
      <c r="G119" s="3">
        <v>700000</v>
      </c>
      <c r="H119" s="3">
        <v>850000</v>
      </c>
    </row>
    <row r="120" spans="1:8" x14ac:dyDescent="0.3">
      <c r="A120" s="9" t="s">
        <v>126</v>
      </c>
      <c r="B120" s="2">
        <v>140000</v>
      </c>
      <c r="C120" s="5">
        <v>160000</v>
      </c>
      <c r="D120" s="2">
        <v>180000</v>
      </c>
      <c r="E120" s="2">
        <v>200000</v>
      </c>
      <c r="F120" s="2">
        <v>230000</v>
      </c>
      <c r="G120" s="2">
        <v>500000</v>
      </c>
      <c r="H120" s="2">
        <v>650000</v>
      </c>
    </row>
    <row r="121" spans="1:8" x14ac:dyDescent="0.3">
      <c r="A121" s="9" t="s">
        <v>127</v>
      </c>
      <c r="B121" s="2">
        <v>140000</v>
      </c>
      <c r="C121" s="5">
        <v>160000</v>
      </c>
      <c r="D121" s="2">
        <v>180000</v>
      </c>
      <c r="E121" s="2">
        <v>200000</v>
      </c>
      <c r="F121" s="2">
        <v>230000</v>
      </c>
      <c r="G121" s="2">
        <v>500000</v>
      </c>
      <c r="H121" s="2">
        <v>650000</v>
      </c>
    </row>
    <row r="122" spans="1:8" x14ac:dyDescent="0.3">
      <c r="A122" s="9" t="s">
        <v>128</v>
      </c>
      <c r="B122" s="2">
        <v>140000</v>
      </c>
      <c r="C122" s="2">
        <v>160000</v>
      </c>
      <c r="D122" s="2">
        <v>180000</v>
      </c>
      <c r="E122" s="2">
        <v>200000</v>
      </c>
      <c r="F122" s="2">
        <v>230000</v>
      </c>
      <c r="G122" s="2">
        <v>500000</v>
      </c>
      <c r="H122" s="2">
        <v>650000</v>
      </c>
    </row>
    <row r="123" spans="1:8" x14ac:dyDescent="0.3">
      <c r="A123" s="9" t="s">
        <v>129</v>
      </c>
      <c r="B123" s="2">
        <v>140000</v>
      </c>
      <c r="C123" s="2">
        <v>160000</v>
      </c>
      <c r="D123" s="2">
        <v>180000</v>
      </c>
      <c r="E123" s="2">
        <v>200000</v>
      </c>
      <c r="F123" s="2">
        <v>230000</v>
      </c>
      <c r="G123" s="2">
        <v>500000</v>
      </c>
      <c r="H123" s="2">
        <v>650000</v>
      </c>
    </row>
    <row r="124" spans="1:8" x14ac:dyDescent="0.3">
      <c r="A124" s="9" t="s">
        <v>130</v>
      </c>
      <c r="B124" s="2">
        <v>140000</v>
      </c>
      <c r="C124" s="5">
        <v>160000</v>
      </c>
      <c r="D124" s="2">
        <v>180000</v>
      </c>
      <c r="E124" s="2">
        <v>200000</v>
      </c>
      <c r="F124" s="2">
        <v>230000</v>
      </c>
      <c r="G124" s="2">
        <v>500000</v>
      </c>
      <c r="H124" s="2">
        <v>650000</v>
      </c>
    </row>
    <row r="125" spans="1:8" x14ac:dyDescent="0.3">
      <c r="A125" s="15" t="s">
        <v>131</v>
      </c>
      <c r="B125" s="3">
        <v>150000</v>
      </c>
      <c r="C125" s="6">
        <v>190000</v>
      </c>
      <c r="D125" s="3">
        <v>240000</v>
      </c>
      <c r="E125" s="3">
        <v>250000</v>
      </c>
      <c r="F125" s="3">
        <v>300000</v>
      </c>
      <c r="G125" s="3">
        <v>650000</v>
      </c>
      <c r="H125" s="3">
        <v>800000</v>
      </c>
    </row>
    <row r="126" spans="1:8" x14ac:dyDescent="0.3">
      <c r="A126" s="15" t="s">
        <v>132</v>
      </c>
      <c r="B126" s="6">
        <v>150000</v>
      </c>
      <c r="C126" s="6">
        <v>190000</v>
      </c>
      <c r="D126" s="3">
        <v>240000</v>
      </c>
      <c r="E126" s="3">
        <v>250000</v>
      </c>
      <c r="F126" s="3">
        <v>300000</v>
      </c>
      <c r="G126" s="3">
        <v>700000</v>
      </c>
      <c r="H126" s="3">
        <v>850000</v>
      </c>
    </row>
    <row r="127" spans="1:8" x14ac:dyDescent="0.3">
      <c r="A127" s="9" t="s">
        <v>133</v>
      </c>
      <c r="B127" s="2">
        <v>140000</v>
      </c>
      <c r="C127" s="2">
        <v>130000</v>
      </c>
      <c r="D127" s="2">
        <v>140000</v>
      </c>
      <c r="E127" s="2">
        <v>150000</v>
      </c>
      <c r="F127" s="2">
        <v>170000</v>
      </c>
      <c r="G127" s="2">
        <v>450000</v>
      </c>
      <c r="H127" s="2">
        <v>600000</v>
      </c>
    </row>
    <row r="128" spans="1:8" x14ac:dyDescent="0.3">
      <c r="A128" s="16" t="s">
        <v>134</v>
      </c>
      <c r="B128" s="13">
        <v>140000</v>
      </c>
      <c r="C128" s="13">
        <v>160000</v>
      </c>
      <c r="D128" s="13">
        <v>180000</v>
      </c>
      <c r="E128" s="13">
        <v>180000</v>
      </c>
      <c r="F128" s="13">
        <v>230000</v>
      </c>
      <c r="G128" s="13">
        <v>450000</v>
      </c>
      <c r="H128" s="13">
        <v>600000</v>
      </c>
    </row>
    <row r="129" spans="1:8" x14ac:dyDescent="0.3">
      <c r="A129" s="9" t="s">
        <v>135</v>
      </c>
      <c r="B129" s="2">
        <v>140000</v>
      </c>
      <c r="C129" s="2">
        <v>160000</v>
      </c>
      <c r="D129" s="2">
        <v>180000</v>
      </c>
      <c r="E129" s="2">
        <v>210000</v>
      </c>
      <c r="F129" s="2">
        <v>230000</v>
      </c>
      <c r="G129" s="2">
        <v>450000</v>
      </c>
      <c r="H129" s="2">
        <v>600000</v>
      </c>
    </row>
    <row r="130" spans="1:8" x14ac:dyDescent="0.3">
      <c r="A130" s="9" t="s">
        <v>136</v>
      </c>
      <c r="B130" s="2">
        <v>140000</v>
      </c>
      <c r="C130" s="2">
        <v>160000</v>
      </c>
      <c r="D130" s="2">
        <v>180000</v>
      </c>
      <c r="E130" s="2">
        <v>210000</v>
      </c>
      <c r="F130" s="2">
        <v>230000</v>
      </c>
      <c r="G130" s="2">
        <v>450000</v>
      </c>
      <c r="H130" s="2">
        <v>600000</v>
      </c>
    </row>
    <row r="131" spans="1:8" x14ac:dyDescent="0.3">
      <c r="A131" s="9" t="s">
        <v>137</v>
      </c>
      <c r="B131" s="2">
        <v>140000</v>
      </c>
      <c r="C131" s="2">
        <v>160000</v>
      </c>
      <c r="D131" s="2">
        <v>180000</v>
      </c>
      <c r="E131" s="2">
        <v>200000</v>
      </c>
      <c r="F131" s="2">
        <v>230000</v>
      </c>
      <c r="G131" s="2">
        <v>450000</v>
      </c>
      <c r="H131" s="2">
        <v>600000</v>
      </c>
    </row>
    <row r="132" spans="1:8" x14ac:dyDescent="0.3">
      <c r="A132" s="15" t="s">
        <v>138</v>
      </c>
      <c r="B132" s="3">
        <v>170000</v>
      </c>
      <c r="C132" s="3">
        <v>190000</v>
      </c>
      <c r="D132" s="3">
        <v>240000</v>
      </c>
      <c r="E132" s="3">
        <v>250000</v>
      </c>
      <c r="F132" s="3">
        <v>300000</v>
      </c>
      <c r="G132" s="3">
        <v>600000</v>
      </c>
      <c r="H132" s="3">
        <v>750000</v>
      </c>
    </row>
    <row r="133" spans="1:8" x14ac:dyDescent="0.3">
      <c r="A133" s="15" t="s">
        <v>139</v>
      </c>
      <c r="B133" s="3">
        <v>170000</v>
      </c>
      <c r="C133" s="3">
        <v>190000</v>
      </c>
      <c r="D133" s="3">
        <v>240000</v>
      </c>
      <c r="E133" s="3">
        <v>250000</v>
      </c>
      <c r="F133" s="3">
        <v>300000</v>
      </c>
      <c r="G133" s="3">
        <v>700000</v>
      </c>
      <c r="H133" s="3">
        <v>850000</v>
      </c>
    </row>
    <row r="134" spans="1:8" x14ac:dyDescent="0.3">
      <c r="A134" s="9" t="s">
        <v>140</v>
      </c>
      <c r="B134" s="2">
        <v>140000</v>
      </c>
      <c r="C134" s="2">
        <v>160000</v>
      </c>
      <c r="D134" s="2">
        <v>180000</v>
      </c>
      <c r="E134" s="2">
        <v>200000</v>
      </c>
      <c r="F134" s="2">
        <v>230000</v>
      </c>
      <c r="G134" s="2">
        <v>450000</v>
      </c>
      <c r="H134" s="2">
        <v>600000</v>
      </c>
    </row>
    <row r="135" spans="1:8" x14ac:dyDescent="0.3">
      <c r="A135" s="9" t="s">
        <v>141</v>
      </c>
      <c r="B135" s="2">
        <v>140000</v>
      </c>
      <c r="C135" s="2">
        <v>160000</v>
      </c>
      <c r="D135" s="2">
        <v>180000</v>
      </c>
      <c r="E135" s="2">
        <v>200000</v>
      </c>
      <c r="F135" s="2">
        <v>230000</v>
      </c>
      <c r="G135" s="2">
        <v>450000</v>
      </c>
      <c r="H135" s="2">
        <v>600000</v>
      </c>
    </row>
    <row r="136" spans="1:8" x14ac:dyDescent="0.3">
      <c r="A136" s="9" t="s">
        <v>142</v>
      </c>
      <c r="B136" s="2">
        <v>140000</v>
      </c>
      <c r="C136" s="2">
        <v>160000</v>
      </c>
      <c r="D136" s="2">
        <v>180000</v>
      </c>
      <c r="E136" s="2">
        <v>200000</v>
      </c>
      <c r="F136" s="2">
        <v>230000</v>
      </c>
      <c r="G136" s="2">
        <v>450000</v>
      </c>
      <c r="H136" s="2">
        <v>600000</v>
      </c>
    </row>
    <row r="137" spans="1:8" x14ac:dyDescent="0.3">
      <c r="A137" s="9" t="s">
        <v>143</v>
      </c>
      <c r="B137" s="2">
        <v>140000</v>
      </c>
      <c r="C137" s="2">
        <v>160000</v>
      </c>
      <c r="D137" s="2">
        <v>180000</v>
      </c>
      <c r="E137" s="2">
        <v>200000</v>
      </c>
      <c r="F137" s="2">
        <v>230000</v>
      </c>
      <c r="G137" s="2">
        <v>450000</v>
      </c>
      <c r="H137" s="2">
        <v>600000</v>
      </c>
    </row>
    <row r="138" spans="1:8" x14ac:dyDescent="0.3">
      <c r="A138" s="9" t="s">
        <v>144</v>
      </c>
      <c r="B138" s="2">
        <v>140000</v>
      </c>
      <c r="C138" s="2">
        <v>160000</v>
      </c>
      <c r="D138" s="2">
        <v>180000</v>
      </c>
      <c r="E138" s="2">
        <v>200000</v>
      </c>
      <c r="F138" s="2">
        <v>230000</v>
      </c>
      <c r="G138" s="2">
        <v>450000</v>
      </c>
      <c r="H138" s="2">
        <v>600000</v>
      </c>
    </row>
    <row r="139" spans="1:8" x14ac:dyDescent="0.3">
      <c r="A139" s="15" t="s">
        <v>145</v>
      </c>
      <c r="B139" s="3">
        <v>170000</v>
      </c>
      <c r="C139" s="3">
        <v>190000</v>
      </c>
      <c r="D139" s="3">
        <v>240000</v>
      </c>
      <c r="E139" s="3">
        <v>250000</v>
      </c>
      <c r="F139" s="3">
        <v>300000</v>
      </c>
      <c r="G139" s="3">
        <v>650000</v>
      </c>
      <c r="H139" s="3">
        <v>800000</v>
      </c>
    </row>
    <row r="140" spans="1:8" x14ac:dyDescent="0.3">
      <c r="A140" s="15" t="s">
        <v>146</v>
      </c>
      <c r="B140" s="3">
        <v>170000</v>
      </c>
      <c r="C140" s="3">
        <v>190000</v>
      </c>
      <c r="D140" s="3">
        <v>240000</v>
      </c>
      <c r="E140" s="3">
        <v>250000</v>
      </c>
      <c r="F140" s="3">
        <v>300000</v>
      </c>
      <c r="G140" s="3">
        <v>700000</v>
      </c>
      <c r="H140" s="3">
        <v>850000</v>
      </c>
    </row>
    <row r="141" spans="1:8" x14ac:dyDescent="0.3">
      <c r="A141" s="9" t="s">
        <v>147</v>
      </c>
      <c r="B141" s="2">
        <v>140000</v>
      </c>
      <c r="C141" s="2">
        <v>160000</v>
      </c>
      <c r="D141" s="2">
        <v>180000</v>
      </c>
      <c r="E141" s="2">
        <v>210000</v>
      </c>
      <c r="F141" s="2">
        <v>230000</v>
      </c>
      <c r="G141" s="2">
        <v>450000</v>
      </c>
      <c r="H141" s="2">
        <v>600000</v>
      </c>
    </row>
    <row r="142" spans="1:8" x14ac:dyDescent="0.3">
      <c r="A142" s="9" t="s">
        <v>148</v>
      </c>
      <c r="B142" s="2">
        <v>140000</v>
      </c>
      <c r="C142" s="2">
        <v>160000</v>
      </c>
      <c r="D142" s="2">
        <v>180000</v>
      </c>
      <c r="E142" s="2">
        <v>210000</v>
      </c>
      <c r="F142" s="2">
        <v>230000</v>
      </c>
      <c r="G142" s="2">
        <v>450000</v>
      </c>
      <c r="H142" s="2">
        <v>600000</v>
      </c>
    </row>
    <row r="143" spans="1:8" x14ac:dyDescent="0.3">
      <c r="A143" s="9" t="s">
        <v>149</v>
      </c>
      <c r="B143" s="2">
        <v>140000</v>
      </c>
      <c r="C143" s="2">
        <v>160000</v>
      </c>
      <c r="D143" s="2">
        <v>190000</v>
      </c>
      <c r="E143" s="2">
        <v>210000</v>
      </c>
      <c r="F143" s="2">
        <v>240000</v>
      </c>
      <c r="G143" s="2">
        <v>450000</v>
      </c>
      <c r="H143" s="2">
        <v>600000</v>
      </c>
    </row>
    <row r="144" spans="1:8" x14ac:dyDescent="0.3">
      <c r="A144" s="9" t="s">
        <v>150</v>
      </c>
      <c r="B144" s="2">
        <v>140000</v>
      </c>
      <c r="C144" s="2">
        <v>160000</v>
      </c>
      <c r="D144" s="2">
        <v>190000</v>
      </c>
      <c r="E144" s="2">
        <v>210000</v>
      </c>
      <c r="F144" s="2">
        <v>240000</v>
      </c>
      <c r="G144" s="2">
        <v>450000</v>
      </c>
      <c r="H144" s="2">
        <v>600000</v>
      </c>
    </row>
    <row r="145" spans="1:8" x14ac:dyDescent="0.3">
      <c r="A145" s="9" t="s">
        <v>151</v>
      </c>
      <c r="B145" s="2">
        <v>140000</v>
      </c>
      <c r="C145" s="2">
        <v>160000</v>
      </c>
      <c r="D145" s="2">
        <v>190000</v>
      </c>
      <c r="E145" s="2">
        <v>210000</v>
      </c>
      <c r="F145" s="2">
        <v>240000</v>
      </c>
      <c r="G145" s="2">
        <v>450000</v>
      </c>
      <c r="H145" s="2">
        <v>600000</v>
      </c>
    </row>
    <row r="146" spans="1:8" x14ac:dyDescent="0.3">
      <c r="A146" s="15" t="s">
        <v>152</v>
      </c>
      <c r="B146" s="3">
        <v>180000</v>
      </c>
      <c r="C146" s="3">
        <v>190000</v>
      </c>
      <c r="D146" s="3">
        <v>240000</v>
      </c>
      <c r="E146" s="3">
        <v>250000</v>
      </c>
      <c r="F146" s="3">
        <v>300000</v>
      </c>
      <c r="G146" s="3">
        <v>600000</v>
      </c>
      <c r="H146" s="3">
        <v>750000</v>
      </c>
    </row>
    <row r="147" spans="1:8" x14ac:dyDescent="0.3">
      <c r="A147" s="15" t="s">
        <v>153</v>
      </c>
      <c r="B147" s="3">
        <v>180000</v>
      </c>
      <c r="C147" s="3">
        <v>190000</v>
      </c>
      <c r="D147" s="3">
        <v>240000</v>
      </c>
      <c r="E147" s="3">
        <v>250000</v>
      </c>
      <c r="F147" s="3">
        <v>300000</v>
      </c>
      <c r="G147" s="3">
        <v>700000</v>
      </c>
      <c r="H147" s="3">
        <v>850000</v>
      </c>
    </row>
    <row r="148" spans="1:8" x14ac:dyDescent="0.3">
      <c r="A148" s="9" t="s">
        <v>154</v>
      </c>
      <c r="B148" s="2">
        <v>160000</v>
      </c>
      <c r="C148" s="2">
        <v>170000</v>
      </c>
      <c r="D148" s="2">
        <v>190000</v>
      </c>
      <c r="E148" s="2">
        <v>210000</v>
      </c>
      <c r="F148" s="2">
        <v>240000</v>
      </c>
      <c r="G148" s="2">
        <v>450000</v>
      </c>
      <c r="H148" s="2">
        <v>600000</v>
      </c>
    </row>
    <row r="149" spans="1:8" x14ac:dyDescent="0.3">
      <c r="A149" s="9" t="s">
        <v>155</v>
      </c>
      <c r="B149" s="2">
        <v>160000</v>
      </c>
      <c r="C149" s="2">
        <v>170000</v>
      </c>
      <c r="D149" s="2">
        <v>190000</v>
      </c>
      <c r="E149" s="2">
        <v>210000</v>
      </c>
      <c r="F149" s="2">
        <v>240000</v>
      </c>
      <c r="G149" s="2">
        <v>450000</v>
      </c>
      <c r="H149" s="2">
        <v>600000</v>
      </c>
    </row>
    <row r="150" spans="1:8" x14ac:dyDescent="0.3">
      <c r="A150" s="9" t="s">
        <v>156</v>
      </c>
      <c r="B150" s="2">
        <v>160000</v>
      </c>
      <c r="C150" s="2">
        <v>170000</v>
      </c>
      <c r="D150" s="2">
        <v>190000</v>
      </c>
      <c r="E150" s="2">
        <v>210000</v>
      </c>
      <c r="F150" s="2">
        <v>240000</v>
      </c>
      <c r="G150" s="2">
        <v>450000</v>
      </c>
      <c r="H150" s="2">
        <v>600000</v>
      </c>
    </row>
    <row r="151" spans="1:8" x14ac:dyDescent="0.3">
      <c r="A151" s="9" t="s">
        <v>157</v>
      </c>
      <c r="B151" s="2">
        <v>160000</v>
      </c>
      <c r="C151" s="2">
        <v>170000</v>
      </c>
      <c r="D151" s="2">
        <v>190000</v>
      </c>
      <c r="E151" s="2">
        <v>210000</v>
      </c>
      <c r="F151" s="2">
        <v>240000</v>
      </c>
      <c r="G151" s="2">
        <v>450000</v>
      </c>
      <c r="H151" s="2">
        <v>600000</v>
      </c>
    </row>
    <row r="152" spans="1:8" x14ac:dyDescent="0.3">
      <c r="A152" s="9" t="s">
        <v>158</v>
      </c>
      <c r="B152" s="2">
        <v>160000</v>
      </c>
      <c r="C152" s="2">
        <v>170000</v>
      </c>
      <c r="D152" s="2">
        <v>190000</v>
      </c>
      <c r="E152" s="2">
        <v>210000</v>
      </c>
      <c r="F152" s="2">
        <v>240000</v>
      </c>
      <c r="G152" s="2">
        <v>450000</v>
      </c>
      <c r="H152" s="2">
        <v>600000</v>
      </c>
    </row>
    <row r="153" spans="1:8" x14ac:dyDescent="0.3">
      <c r="A153" s="15" t="s">
        <v>159</v>
      </c>
      <c r="B153" s="3">
        <v>180000</v>
      </c>
      <c r="C153" s="3">
        <v>190000</v>
      </c>
      <c r="D153" s="3">
        <v>240000</v>
      </c>
      <c r="E153" s="3">
        <v>250000</v>
      </c>
      <c r="F153" s="3">
        <v>300000</v>
      </c>
      <c r="G153" s="3">
        <v>600000</v>
      </c>
      <c r="H153" s="3">
        <v>750000</v>
      </c>
    </row>
    <row r="154" spans="1:8" x14ac:dyDescent="0.3">
      <c r="A154" s="15" t="s">
        <v>160</v>
      </c>
      <c r="B154" s="3">
        <v>180000</v>
      </c>
      <c r="C154" s="3">
        <v>190000</v>
      </c>
      <c r="D154" s="3">
        <v>240000</v>
      </c>
      <c r="E154" s="3">
        <v>250000</v>
      </c>
      <c r="F154" s="3">
        <v>300000</v>
      </c>
      <c r="G154" s="3">
        <v>700000</v>
      </c>
      <c r="H154" s="3">
        <v>850000</v>
      </c>
    </row>
    <row r="155" spans="1:8" x14ac:dyDescent="0.3">
      <c r="A155" s="9" t="s">
        <v>161</v>
      </c>
      <c r="B155" s="2">
        <v>160000</v>
      </c>
      <c r="C155" s="2">
        <v>170000</v>
      </c>
      <c r="D155" s="2">
        <v>190000</v>
      </c>
      <c r="E155" s="2">
        <v>210000</v>
      </c>
      <c r="F155" s="2">
        <v>240000</v>
      </c>
      <c r="G155" s="2">
        <v>450000</v>
      </c>
      <c r="H155" s="2">
        <v>600000</v>
      </c>
    </row>
    <row r="156" spans="1:8" x14ac:dyDescent="0.3">
      <c r="A156" s="9" t="s">
        <v>162</v>
      </c>
      <c r="B156" s="2">
        <v>160000</v>
      </c>
      <c r="C156" s="2">
        <v>170000</v>
      </c>
      <c r="D156" s="2">
        <v>190000</v>
      </c>
      <c r="E156" s="2">
        <v>210000</v>
      </c>
      <c r="F156" s="2">
        <v>240000</v>
      </c>
      <c r="G156" s="2">
        <v>450000</v>
      </c>
      <c r="H156" s="2">
        <v>600000</v>
      </c>
    </row>
    <row r="157" spans="1:8" x14ac:dyDescent="0.3">
      <c r="A157" s="9" t="s">
        <v>163</v>
      </c>
      <c r="B157" s="2">
        <v>160000</v>
      </c>
      <c r="C157" s="2">
        <v>170000</v>
      </c>
      <c r="D157" s="2">
        <v>190000</v>
      </c>
      <c r="E157" s="2">
        <v>210000</v>
      </c>
      <c r="F157" s="2">
        <v>240000</v>
      </c>
      <c r="G157" s="2">
        <v>450000</v>
      </c>
      <c r="H157" s="2">
        <v>600000</v>
      </c>
    </row>
    <row r="158" spans="1:8" x14ac:dyDescent="0.3">
      <c r="A158" s="9" t="s">
        <v>164</v>
      </c>
      <c r="B158" s="2">
        <v>160000</v>
      </c>
      <c r="C158" s="2">
        <v>170000</v>
      </c>
      <c r="D158" s="2">
        <v>190000</v>
      </c>
      <c r="E158" s="2">
        <v>210000</v>
      </c>
      <c r="F158" s="2">
        <v>240000</v>
      </c>
      <c r="G158" s="2">
        <v>450000</v>
      </c>
      <c r="H158" s="2">
        <v>600000</v>
      </c>
    </row>
    <row r="159" spans="1:8" x14ac:dyDescent="0.3">
      <c r="A159" s="9" t="s">
        <v>165</v>
      </c>
      <c r="B159" s="2">
        <v>160000</v>
      </c>
      <c r="C159" s="2">
        <v>170000</v>
      </c>
      <c r="D159" s="2">
        <v>190000</v>
      </c>
      <c r="E159" s="2">
        <v>210000</v>
      </c>
      <c r="F159" s="2">
        <v>240000</v>
      </c>
      <c r="G159" s="2">
        <v>450000</v>
      </c>
      <c r="H159" s="2">
        <v>600000</v>
      </c>
    </row>
    <row r="160" spans="1:8" x14ac:dyDescent="0.3">
      <c r="A160" s="15" t="s">
        <v>166</v>
      </c>
      <c r="B160" s="3">
        <v>180000</v>
      </c>
      <c r="C160" s="3">
        <v>190000</v>
      </c>
      <c r="D160" s="3">
        <v>240000</v>
      </c>
      <c r="E160" s="3">
        <v>250000</v>
      </c>
      <c r="F160" s="3">
        <v>300000</v>
      </c>
      <c r="G160" s="3">
        <v>600000</v>
      </c>
      <c r="H160" s="3">
        <v>750000</v>
      </c>
    </row>
    <row r="161" spans="1:8" x14ac:dyDescent="0.3">
      <c r="A161" s="15" t="s">
        <v>167</v>
      </c>
      <c r="B161" s="3">
        <v>160000</v>
      </c>
      <c r="C161" s="3">
        <v>170000</v>
      </c>
      <c r="D161" s="3">
        <v>240000</v>
      </c>
      <c r="E161" s="3">
        <v>250000</v>
      </c>
      <c r="F161" s="3">
        <v>300000</v>
      </c>
      <c r="G161" s="3">
        <v>700000</v>
      </c>
      <c r="H161" s="3">
        <v>850000</v>
      </c>
    </row>
    <row r="162" spans="1:8" x14ac:dyDescent="0.3">
      <c r="A162" s="9" t="s">
        <v>168</v>
      </c>
      <c r="B162" s="2">
        <v>140000</v>
      </c>
      <c r="C162" s="2">
        <v>150000</v>
      </c>
      <c r="D162" s="2">
        <v>190000</v>
      </c>
      <c r="E162" s="2">
        <v>210000</v>
      </c>
      <c r="F162" s="2">
        <v>240000</v>
      </c>
      <c r="G162" s="2">
        <v>450000</v>
      </c>
      <c r="H162" s="5">
        <v>600000</v>
      </c>
    </row>
    <row r="163" spans="1:8" x14ac:dyDescent="0.3">
      <c r="A163" s="9" t="s">
        <v>169</v>
      </c>
      <c r="B163" s="2">
        <v>140000</v>
      </c>
      <c r="C163" s="2">
        <v>150000</v>
      </c>
      <c r="D163" s="2">
        <v>190000</v>
      </c>
      <c r="E163" s="2">
        <v>210000</v>
      </c>
      <c r="F163" s="2">
        <v>240000</v>
      </c>
      <c r="G163" s="2">
        <v>450000</v>
      </c>
      <c r="H163" s="5">
        <v>600000</v>
      </c>
    </row>
    <row r="164" spans="1:8" x14ac:dyDescent="0.3">
      <c r="A164" s="9" t="s">
        <v>170</v>
      </c>
      <c r="B164" s="2">
        <v>140000</v>
      </c>
      <c r="C164" s="2">
        <v>150000</v>
      </c>
      <c r="D164" s="2">
        <v>190000</v>
      </c>
      <c r="E164" s="2">
        <v>210000</v>
      </c>
      <c r="F164" s="2">
        <v>240000</v>
      </c>
      <c r="G164" s="2">
        <v>450000</v>
      </c>
      <c r="H164" s="2">
        <v>600000</v>
      </c>
    </row>
    <row r="165" spans="1:8" x14ac:dyDescent="0.3">
      <c r="A165" s="9" t="s">
        <v>171</v>
      </c>
      <c r="B165" s="2">
        <v>140000</v>
      </c>
      <c r="C165" s="2">
        <v>150000</v>
      </c>
      <c r="D165" s="2">
        <v>190000</v>
      </c>
      <c r="E165" s="2">
        <v>210000</v>
      </c>
      <c r="F165" s="2">
        <v>240000</v>
      </c>
      <c r="G165" s="2">
        <v>450000</v>
      </c>
      <c r="H165" s="2">
        <v>600000</v>
      </c>
    </row>
    <row r="166" spans="1:8" x14ac:dyDescent="0.3">
      <c r="A166" s="9" t="s">
        <v>172</v>
      </c>
      <c r="B166" s="2">
        <v>140000</v>
      </c>
      <c r="C166" s="2">
        <v>150000</v>
      </c>
      <c r="D166" s="2">
        <v>190000</v>
      </c>
      <c r="E166" s="2">
        <v>210000</v>
      </c>
      <c r="F166" s="2">
        <v>240000</v>
      </c>
      <c r="G166" s="2">
        <v>450000</v>
      </c>
      <c r="H166" s="2">
        <v>600000</v>
      </c>
    </row>
    <row r="167" spans="1:8" x14ac:dyDescent="0.3">
      <c r="A167" s="15" t="s">
        <v>173</v>
      </c>
      <c r="B167" s="3">
        <v>160000</v>
      </c>
      <c r="C167" s="3">
        <v>170000</v>
      </c>
      <c r="D167" s="3">
        <v>240000</v>
      </c>
      <c r="E167" s="3">
        <v>250000</v>
      </c>
      <c r="F167" s="3">
        <v>300000</v>
      </c>
      <c r="G167" s="3">
        <v>600000</v>
      </c>
      <c r="H167" s="3">
        <v>750000</v>
      </c>
    </row>
    <row r="168" spans="1:8" x14ac:dyDescent="0.3">
      <c r="A168" s="15" t="s">
        <v>174</v>
      </c>
      <c r="B168" s="3">
        <v>160000</v>
      </c>
      <c r="C168" s="3">
        <v>170000</v>
      </c>
      <c r="D168" s="3">
        <v>240000</v>
      </c>
      <c r="E168" s="3">
        <v>250000</v>
      </c>
      <c r="F168" s="3">
        <v>300000</v>
      </c>
      <c r="G168" s="3">
        <v>700000</v>
      </c>
      <c r="H168" s="3">
        <v>850000</v>
      </c>
    </row>
    <row r="169" spans="1:8" x14ac:dyDescent="0.3">
      <c r="A169" s="9" t="s">
        <v>175</v>
      </c>
      <c r="B169" s="2">
        <v>140000</v>
      </c>
      <c r="C169" s="2">
        <v>150000</v>
      </c>
      <c r="D169" s="2">
        <v>190000</v>
      </c>
      <c r="E169" s="2">
        <v>210000</v>
      </c>
      <c r="F169" s="2">
        <v>240000</v>
      </c>
      <c r="G169" s="2">
        <v>450000</v>
      </c>
      <c r="H169" s="2">
        <v>600000</v>
      </c>
    </row>
    <row r="170" spans="1:8" x14ac:dyDescent="0.3">
      <c r="A170" s="9" t="s">
        <v>176</v>
      </c>
      <c r="B170" s="2">
        <v>140000</v>
      </c>
      <c r="C170" s="2">
        <v>150000</v>
      </c>
      <c r="D170" s="2">
        <v>190000</v>
      </c>
      <c r="E170" s="2">
        <v>210000</v>
      </c>
      <c r="F170" s="2">
        <v>240000</v>
      </c>
      <c r="G170" s="2">
        <v>450000</v>
      </c>
      <c r="H170" s="2">
        <v>600000</v>
      </c>
    </row>
    <row r="171" spans="1:8" x14ac:dyDescent="0.3">
      <c r="A171" s="9" t="s">
        <v>177</v>
      </c>
      <c r="B171" s="2">
        <v>140000</v>
      </c>
      <c r="C171" s="2">
        <v>150000</v>
      </c>
      <c r="D171" s="2">
        <v>190000</v>
      </c>
      <c r="E171" s="2">
        <v>210000</v>
      </c>
      <c r="F171" s="2">
        <v>240000</v>
      </c>
      <c r="G171" s="2">
        <v>450000</v>
      </c>
      <c r="H171" s="2">
        <v>600000</v>
      </c>
    </row>
    <row r="172" spans="1:8" x14ac:dyDescent="0.3">
      <c r="A172" s="9" t="s">
        <v>178</v>
      </c>
      <c r="B172" s="2">
        <v>140000</v>
      </c>
      <c r="C172" s="2">
        <v>150000</v>
      </c>
      <c r="D172" s="2">
        <v>190000</v>
      </c>
      <c r="E172" s="2">
        <v>210000</v>
      </c>
      <c r="F172" s="2">
        <v>240000</v>
      </c>
      <c r="G172" s="2">
        <v>450000</v>
      </c>
      <c r="H172" s="2">
        <v>600000</v>
      </c>
    </row>
    <row r="173" spans="1:8" x14ac:dyDescent="0.3">
      <c r="A173" s="9" t="s">
        <v>179</v>
      </c>
      <c r="B173" s="2">
        <v>140000</v>
      </c>
      <c r="C173" s="2">
        <v>150000</v>
      </c>
      <c r="D173" s="2">
        <v>190000</v>
      </c>
      <c r="E173" s="2">
        <v>210000</v>
      </c>
      <c r="F173" s="2">
        <v>240000</v>
      </c>
      <c r="G173" s="2">
        <v>450000</v>
      </c>
      <c r="H173" s="2">
        <v>600000</v>
      </c>
    </row>
    <row r="174" spans="1:8" x14ac:dyDescent="0.3">
      <c r="A174" s="15" t="s">
        <v>180</v>
      </c>
      <c r="B174" s="3">
        <v>160000</v>
      </c>
      <c r="C174" s="3">
        <v>170000</v>
      </c>
      <c r="D174" s="3">
        <v>240000</v>
      </c>
      <c r="E174" s="3">
        <v>250000</v>
      </c>
      <c r="F174" s="3">
        <v>300000</v>
      </c>
      <c r="G174" s="3">
        <v>600000</v>
      </c>
      <c r="H174" s="3">
        <v>750000</v>
      </c>
    </row>
    <row r="175" spans="1:8" x14ac:dyDescent="0.3">
      <c r="A175" s="15" t="s">
        <v>181</v>
      </c>
      <c r="B175" s="3">
        <v>160000</v>
      </c>
      <c r="C175" s="3">
        <v>170000</v>
      </c>
      <c r="D175" s="3">
        <v>240000</v>
      </c>
      <c r="E175" s="3">
        <v>250000</v>
      </c>
      <c r="F175" s="3">
        <v>300000</v>
      </c>
      <c r="G175" s="3">
        <v>700000</v>
      </c>
      <c r="H175" s="3">
        <v>850000</v>
      </c>
    </row>
    <row r="176" spans="1:8" x14ac:dyDescent="0.3">
      <c r="A176" s="9" t="s">
        <v>182</v>
      </c>
      <c r="B176" s="2">
        <v>140000</v>
      </c>
      <c r="C176" s="2">
        <v>150000</v>
      </c>
      <c r="D176" s="2">
        <v>190000</v>
      </c>
      <c r="E176" s="2">
        <v>210000</v>
      </c>
      <c r="F176" s="2">
        <v>240000</v>
      </c>
      <c r="G176" s="2">
        <v>450000</v>
      </c>
      <c r="H176" s="2">
        <v>600000</v>
      </c>
    </row>
    <row r="177" spans="1:8" x14ac:dyDescent="0.3">
      <c r="A177" s="9" t="s">
        <v>183</v>
      </c>
      <c r="B177" s="2">
        <v>140000</v>
      </c>
      <c r="C177" s="2">
        <v>150000</v>
      </c>
      <c r="D177" s="2">
        <v>190000</v>
      </c>
      <c r="E177" s="2">
        <v>210000</v>
      </c>
      <c r="F177" s="2">
        <v>240000</v>
      </c>
      <c r="G177" s="2">
        <v>450000</v>
      </c>
      <c r="H177" s="2">
        <v>600000</v>
      </c>
    </row>
    <row r="178" spans="1:8" x14ac:dyDescent="0.3">
      <c r="A178" s="9" t="s">
        <v>184</v>
      </c>
      <c r="B178" s="2">
        <v>140000</v>
      </c>
      <c r="C178" s="2">
        <v>150000</v>
      </c>
      <c r="D178" s="2">
        <v>190000</v>
      </c>
      <c r="E178" s="2">
        <v>210000</v>
      </c>
      <c r="F178" s="2">
        <v>240000</v>
      </c>
      <c r="G178" s="2">
        <v>450000</v>
      </c>
      <c r="H178" s="2">
        <v>600000</v>
      </c>
    </row>
    <row r="179" spans="1:8" x14ac:dyDescent="0.3">
      <c r="A179" s="9" t="s">
        <v>185</v>
      </c>
      <c r="B179" s="2">
        <v>140000</v>
      </c>
      <c r="C179" s="2">
        <v>150000</v>
      </c>
      <c r="D179" s="2">
        <v>190000</v>
      </c>
      <c r="E179" s="2">
        <v>210000</v>
      </c>
      <c r="F179" s="2">
        <v>350000</v>
      </c>
      <c r="G179" s="2">
        <v>450000</v>
      </c>
      <c r="H179" s="2">
        <v>600000</v>
      </c>
    </row>
    <row r="180" spans="1:8" x14ac:dyDescent="0.3">
      <c r="A180" s="9" t="s">
        <v>186</v>
      </c>
      <c r="B180" s="2">
        <v>140000</v>
      </c>
      <c r="C180" s="2">
        <v>150000</v>
      </c>
      <c r="D180" s="2">
        <v>190000</v>
      </c>
      <c r="E180" s="2">
        <v>210000</v>
      </c>
      <c r="F180" s="2">
        <v>240000</v>
      </c>
      <c r="G180" s="2">
        <v>450000</v>
      </c>
      <c r="H180" s="2">
        <v>600000</v>
      </c>
    </row>
    <row r="181" spans="1:8" x14ac:dyDescent="0.3">
      <c r="A181" s="15" t="s">
        <v>187</v>
      </c>
      <c r="B181" s="3">
        <v>160000</v>
      </c>
      <c r="C181" s="3">
        <v>170000</v>
      </c>
      <c r="D181" s="3">
        <v>240000</v>
      </c>
      <c r="E181" s="3">
        <v>250000</v>
      </c>
      <c r="F181" s="3">
        <v>300000</v>
      </c>
      <c r="G181" s="3">
        <v>600000</v>
      </c>
      <c r="H181" s="3">
        <v>750000</v>
      </c>
    </row>
    <row r="182" spans="1:8" x14ac:dyDescent="0.3">
      <c r="A182" s="15" t="s">
        <v>188</v>
      </c>
      <c r="B182" s="3">
        <v>160000</v>
      </c>
      <c r="C182" s="3">
        <v>170000</v>
      </c>
      <c r="D182" s="3">
        <v>240000</v>
      </c>
      <c r="E182" s="3">
        <v>250000</v>
      </c>
      <c r="F182" s="3">
        <v>300000</v>
      </c>
      <c r="G182" s="3">
        <v>700000</v>
      </c>
      <c r="H182" s="3">
        <v>850000</v>
      </c>
    </row>
    <row r="183" spans="1:8" x14ac:dyDescent="0.3">
      <c r="A183" s="9" t="s">
        <v>189</v>
      </c>
      <c r="B183" s="2">
        <v>140000</v>
      </c>
      <c r="C183" s="2">
        <v>150000</v>
      </c>
      <c r="D183" s="2">
        <v>190000</v>
      </c>
      <c r="E183" s="2">
        <v>210000</v>
      </c>
      <c r="F183" s="2">
        <v>240000</v>
      </c>
      <c r="G183" s="2">
        <v>450000</v>
      </c>
      <c r="H183" s="2">
        <v>600000</v>
      </c>
    </row>
    <row r="184" spans="1:8" x14ac:dyDescent="0.3">
      <c r="A184" s="9" t="s">
        <v>190</v>
      </c>
      <c r="B184" s="2">
        <v>140000</v>
      </c>
      <c r="C184" s="2">
        <v>150000</v>
      </c>
      <c r="D184" s="2">
        <v>190000</v>
      </c>
      <c r="E184" s="2">
        <v>210000</v>
      </c>
      <c r="F184" s="2">
        <v>240000</v>
      </c>
      <c r="G184" s="2">
        <v>450000</v>
      </c>
      <c r="H184" s="2">
        <v>600000</v>
      </c>
    </row>
    <row r="185" spans="1:8" x14ac:dyDescent="0.3">
      <c r="A185" s="9" t="s">
        <v>191</v>
      </c>
      <c r="B185" s="2">
        <v>140000</v>
      </c>
      <c r="C185" s="2">
        <v>150000</v>
      </c>
      <c r="D185" s="2">
        <v>190000</v>
      </c>
      <c r="E185" s="2">
        <v>210000</v>
      </c>
      <c r="F185" s="2">
        <v>240000</v>
      </c>
      <c r="G185" s="2">
        <v>450000</v>
      </c>
      <c r="H185" s="2">
        <v>600000</v>
      </c>
    </row>
    <row r="186" spans="1:8" x14ac:dyDescent="0.3">
      <c r="A186" s="9" t="s">
        <v>192</v>
      </c>
      <c r="B186" s="2">
        <v>140000</v>
      </c>
      <c r="C186" s="2">
        <v>150000</v>
      </c>
      <c r="D186" s="2">
        <v>190000</v>
      </c>
      <c r="E186" s="2">
        <v>210000</v>
      </c>
      <c r="F186" s="2">
        <v>240000</v>
      </c>
      <c r="G186" s="2">
        <v>450000</v>
      </c>
      <c r="H186" s="2">
        <v>600000</v>
      </c>
    </row>
    <row r="187" spans="1:8" x14ac:dyDescent="0.3">
      <c r="A187" s="9" t="s">
        <v>193</v>
      </c>
      <c r="B187" s="2">
        <v>140000</v>
      </c>
      <c r="C187" s="2">
        <v>150000</v>
      </c>
      <c r="D187" s="2">
        <v>190000</v>
      </c>
      <c r="E187" s="2">
        <v>210000</v>
      </c>
      <c r="F187" s="2">
        <v>240000</v>
      </c>
      <c r="G187" s="2">
        <v>450000</v>
      </c>
      <c r="H187" s="2">
        <v>600000</v>
      </c>
    </row>
    <row r="188" spans="1:8" x14ac:dyDescent="0.3">
      <c r="A188" s="15" t="s">
        <v>194</v>
      </c>
      <c r="B188" s="3">
        <v>160000</v>
      </c>
      <c r="C188" s="3">
        <v>170000</v>
      </c>
      <c r="D188" s="3">
        <v>240000</v>
      </c>
      <c r="E188" s="3">
        <v>250000</v>
      </c>
      <c r="F188" s="3">
        <v>300000</v>
      </c>
      <c r="G188" s="3">
        <v>600000</v>
      </c>
      <c r="H188" s="3">
        <v>750000</v>
      </c>
    </row>
    <row r="189" spans="1:8" x14ac:dyDescent="0.3">
      <c r="A189" s="15" t="s">
        <v>195</v>
      </c>
      <c r="B189" s="3">
        <v>160000</v>
      </c>
      <c r="C189" s="3">
        <v>170000</v>
      </c>
      <c r="D189" s="3">
        <v>240000</v>
      </c>
      <c r="E189" s="3">
        <v>250000</v>
      </c>
      <c r="F189" s="3">
        <v>300000</v>
      </c>
      <c r="G189" s="3">
        <v>700000</v>
      </c>
      <c r="H189" s="3">
        <v>850000</v>
      </c>
    </row>
    <row r="190" spans="1:8" x14ac:dyDescent="0.3">
      <c r="A190" s="9" t="s">
        <v>196</v>
      </c>
      <c r="B190" s="2">
        <v>140000</v>
      </c>
      <c r="C190" s="2">
        <v>150000</v>
      </c>
      <c r="D190" s="2">
        <v>190000</v>
      </c>
      <c r="E190" s="2">
        <v>210000</v>
      </c>
      <c r="F190" s="2">
        <v>240000</v>
      </c>
      <c r="G190" s="2">
        <v>450000</v>
      </c>
      <c r="H190" s="2">
        <v>600000</v>
      </c>
    </row>
    <row r="191" spans="1:8" x14ac:dyDescent="0.3">
      <c r="A191" s="9" t="s">
        <v>197</v>
      </c>
      <c r="B191" s="2">
        <v>140000</v>
      </c>
      <c r="C191" s="2">
        <v>150000</v>
      </c>
      <c r="D191" s="2">
        <v>190000</v>
      </c>
      <c r="E191" s="2">
        <v>210000</v>
      </c>
      <c r="F191" s="2">
        <v>240000</v>
      </c>
      <c r="G191" s="2">
        <v>450000</v>
      </c>
      <c r="H191" s="2">
        <v>600000</v>
      </c>
    </row>
    <row r="192" spans="1:8" x14ac:dyDescent="0.3">
      <c r="A192" s="9" t="s">
        <v>198</v>
      </c>
      <c r="B192" s="2">
        <v>140000</v>
      </c>
      <c r="C192" s="2">
        <v>150000</v>
      </c>
      <c r="D192" s="2">
        <v>190000</v>
      </c>
      <c r="E192" s="2">
        <v>210000</v>
      </c>
      <c r="F192" s="2">
        <v>240000</v>
      </c>
      <c r="G192" s="2">
        <v>450000</v>
      </c>
      <c r="H192" s="2">
        <v>600000</v>
      </c>
    </row>
    <row r="193" spans="1:8" x14ac:dyDescent="0.3">
      <c r="A193" s="9" t="s">
        <v>199</v>
      </c>
      <c r="B193" s="2">
        <v>140000</v>
      </c>
      <c r="C193" s="2">
        <v>150000</v>
      </c>
      <c r="D193" s="2">
        <v>190000</v>
      </c>
      <c r="E193" s="2">
        <v>210000</v>
      </c>
      <c r="F193" s="2">
        <v>240000</v>
      </c>
      <c r="G193" s="2">
        <v>450000</v>
      </c>
      <c r="H193" s="5">
        <v>600000</v>
      </c>
    </row>
    <row r="194" spans="1:8" x14ac:dyDescent="0.3">
      <c r="A194" s="9" t="s">
        <v>200</v>
      </c>
      <c r="B194" s="2">
        <v>140000</v>
      </c>
      <c r="C194" s="2">
        <v>150000</v>
      </c>
      <c r="D194" s="2">
        <v>190000</v>
      </c>
      <c r="E194" s="2">
        <v>210000</v>
      </c>
      <c r="F194" s="2">
        <v>240000</v>
      </c>
      <c r="G194" s="2">
        <v>450000</v>
      </c>
      <c r="H194" s="5">
        <v>600000</v>
      </c>
    </row>
    <row r="195" spans="1:8" x14ac:dyDescent="0.3">
      <c r="A195" s="15" t="s">
        <v>201</v>
      </c>
      <c r="B195" s="3">
        <v>160000</v>
      </c>
      <c r="C195" s="3">
        <v>170000</v>
      </c>
      <c r="D195" s="3">
        <v>240000</v>
      </c>
      <c r="E195" s="3">
        <v>250000</v>
      </c>
      <c r="F195" s="3">
        <v>300000</v>
      </c>
      <c r="G195" s="3">
        <v>600000</v>
      </c>
      <c r="H195" s="6">
        <v>750000</v>
      </c>
    </row>
    <row r="196" spans="1:8" x14ac:dyDescent="0.3">
      <c r="A196" s="15" t="s">
        <v>202</v>
      </c>
      <c r="B196" s="3">
        <v>160000</v>
      </c>
      <c r="C196" s="3">
        <v>170000</v>
      </c>
      <c r="D196" s="3">
        <v>240000</v>
      </c>
      <c r="E196" s="3">
        <v>250000</v>
      </c>
      <c r="F196" s="3">
        <v>300000</v>
      </c>
      <c r="G196" s="3">
        <v>700000</v>
      </c>
      <c r="H196" s="6">
        <v>850000</v>
      </c>
    </row>
    <row r="197" spans="1:8" x14ac:dyDescent="0.3">
      <c r="A197" s="9" t="s">
        <v>203</v>
      </c>
      <c r="B197" s="2">
        <v>140000</v>
      </c>
      <c r="C197" s="2">
        <v>150000</v>
      </c>
      <c r="D197" s="2">
        <v>190000</v>
      </c>
      <c r="E197" s="2">
        <v>210000</v>
      </c>
      <c r="F197" s="2">
        <v>240000</v>
      </c>
      <c r="G197" s="2">
        <v>450000</v>
      </c>
      <c r="H197" s="5">
        <v>600000</v>
      </c>
    </row>
    <row r="198" spans="1:8" x14ac:dyDescent="0.3">
      <c r="A198" s="9" t="s">
        <v>204</v>
      </c>
      <c r="B198" s="2">
        <v>140000</v>
      </c>
      <c r="C198" s="2">
        <v>150000</v>
      </c>
      <c r="D198" s="2">
        <v>190000</v>
      </c>
      <c r="E198" s="2">
        <v>210000</v>
      </c>
      <c r="F198" s="2">
        <v>240000</v>
      </c>
      <c r="G198" s="2">
        <v>450000</v>
      </c>
      <c r="H198" s="5">
        <v>600000</v>
      </c>
    </row>
    <row r="199" spans="1:8" x14ac:dyDescent="0.3">
      <c r="A199" s="9" t="s">
        <v>205</v>
      </c>
      <c r="B199" s="2">
        <v>140000</v>
      </c>
      <c r="C199" s="2">
        <v>150000</v>
      </c>
      <c r="D199" s="2">
        <v>190000</v>
      </c>
      <c r="E199" s="2">
        <v>210000</v>
      </c>
      <c r="F199" s="2">
        <v>240000</v>
      </c>
      <c r="G199" s="2">
        <v>450000</v>
      </c>
      <c r="H199" s="5">
        <v>600000</v>
      </c>
    </row>
    <row r="200" spans="1:8" x14ac:dyDescent="0.3">
      <c r="A200" s="9" t="s">
        <v>206</v>
      </c>
      <c r="B200" s="2">
        <v>140000</v>
      </c>
      <c r="C200" s="2">
        <v>150000</v>
      </c>
      <c r="D200" s="2">
        <v>190000</v>
      </c>
      <c r="E200" s="2">
        <v>210000</v>
      </c>
      <c r="F200" s="2">
        <v>240000</v>
      </c>
      <c r="G200" s="2">
        <v>450000</v>
      </c>
      <c r="H200" s="2">
        <v>600000</v>
      </c>
    </row>
    <row r="201" spans="1:8" x14ac:dyDescent="0.3">
      <c r="A201" s="9" t="s">
        <v>207</v>
      </c>
      <c r="B201" s="2">
        <v>140000</v>
      </c>
      <c r="C201" s="2">
        <v>150000</v>
      </c>
      <c r="D201" s="2">
        <v>190000</v>
      </c>
      <c r="E201" s="2">
        <v>210000</v>
      </c>
      <c r="F201" s="2">
        <v>240000</v>
      </c>
      <c r="G201" s="2">
        <v>450000</v>
      </c>
      <c r="H201" s="2">
        <v>600000</v>
      </c>
    </row>
    <row r="202" spans="1:8" x14ac:dyDescent="0.3">
      <c r="A202" s="15" t="s">
        <v>208</v>
      </c>
      <c r="B202" s="3">
        <v>160000</v>
      </c>
      <c r="C202" s="3">
        <v>170000</v>
      </c>
      <c r="D202" s="3">
        <v>240000</v>
      </c>
      <c r="E202" s="3">
        <v>250000</v>
      </c>
      <c r="F202" s="3">
        <v>300000</v>
      </c>
      <c r="G202" s="3">
        <v>600000</v>
      </c>
      <c r="H202" s="3">
        <v>750000</v>
      </c>
    </row>
    <row r="203" spans="1:8" x14ac:dyDescent="0.3">
      <c r="A203" s="15" t="s">
        <v>209</v>
      </c>
      <c r="B203" s="3">
        <v>160000</v>
      </c>
      <c r="C203" s="3">
        <v>170000</v>
      </c>
      <c r="D203" s="3">
        <v>240000</v>
      </c>
      <c r="E203" s="3">
        <v>250000</v>
      </c>
      <c r="F203" s="3">
        <v>300000</v>
      </c>
      <c r="G203" s="3">
        <v>700000</v>
      </c>
      <c r="H203" s="3">
        <v>850000</v>
      </c>
    </row>
    <row r="204" spans="1:8" x14ac:dyDescent="0.3">
      <c r="A204" s="9" t="s">
        <v>210</v>
      </c>
      <c r="B204" s="2">
        <v>140000</v>
      </c>
      <c r="C204" s="2">
        <v>150000</v>
      </c>
      <c r="D204" s="2">
        <v>190000</v>
      </c>
      <c r="E204" s="2">
        <v>210000</v>
      </c>
      <c r="F204" s="2">
        <v>240000</v>
      </c>
      <c r="G204" s="2">
        <v>450000</v>
      </c>
      <c r="H204" s="2">
        <v>600000</v>
      </c>
    </row>
    <row r="205" spans="1:8" x14ac:dyDescent="0.3">
      <c r="A205" s="9" t="s">
        <v>211</v>
      </c>
      <c r="B205" s="2">
        <v>140000</v>
      </c>
      <c r="C205" s="2">
        <v>150000</v>
      </c>
      <c r="D205" s="2">
        <v>190000</v>
      </c>
      <c r="E205" s="2">
        <v>210000</v>
      </c>
      <c r="F205" s="2">
        <v>240000</v>
      </c>
      <c r="G205" s="2">
        <v>450000</v>
      </c>
      <c r="H205" s="2">
        <v>600000</v>
      </c>
    </row>
    <row r="206" spans="1:8" x14ac:dyDescent="0.3">
      <c r="A206" s="9" t="s">
        <v>212</v>
      </c>
      <c r="B206" s="2">
        <v>140000</v>
      </c>
      <c r="C206" s="2">
        <v>150000</v>
      </c>
      <c r="D206" s="2">
        <v>190000</v>
      </c>
      <c r="E206" s="2">
        <v>210000</v>
      </c>
      <c r="F206" s="2">
        <v>240000</v>
      </c>
      <c r="G206" s="2">
        <v>450000</v>
      </c>
      <c r="H206" s="2">
        <v>600000</v>
      </c>
    </row>
    <row r="207" spans="1:8" x14ac:dyDescent="0.3">
      <c r="A207" s="9" t="s">
        <v>213</v>
      </c>
      <c r="B207" s="2">
        <v>140000</v>
      </c>
      <c r="C207" s="2">
        <v>150000</v>
      </c>
      <c r="D207" s="2">
        <v>190000</v>
      </c>
      <c r="E207" s="2">
        <v>210000</v>
      </c>
      <c r="F207" s="2">
        <v>240000</v>
      </c>
      <c r="G207" s="2">
        <v>450000</v>
      </c>
      <c r="H207" s="2">
        <v>600000</v>
      </c>
    </row>
    <row r="208" spans="1:8" x14ac:dyDescent="0.3">
      <c r="A208" s="9" t="s">
        <v>214</v>
      </c>
      <c r="B208" s="2">
        <v>140000</v>
      </c>
      <c r="C208" s="2">
        <v>150000</v>
      </c>
      <c r="D208" s="2">
        <v>190000</v>
      </c>
      <c r="E208" s="2">
        <v>210000</v>
      </c>
      <c r="F208" s="2">
        <v>240000</v>
      </c>
      <c r="G208" s="2">
        <v>450000</v>
      </c>
      <c r="H208" s="2">
        <v>600000</v>
      </c>
    </row>
    <row r="209" spans="1:8" x14ac:dyDescent="0.3">
      <c r="A209" s="15" t="s">
        <v>215</v>
      </c>
      <c r="B209" s="3">
        <v>160000</v>
      </c>
      <c r="C209" s="3">
        <v>170000</v>
      </c>
      <c r="D209" s="3">
        <v>240000</v>
      </c>
      <c r="E209" s="3">
        <v>250000</v>
      </c>
      <c r="F209" s="3">
        <v>300000</v>
      </c>
      <c r="G209" s="3">
        <v>600000</v>
      </c>
      <c r="H209" s="3">
        <v>750000</v>
      </c>
    </row>
    <row r="210" spans="1:8" x14ac:dyDescent="0.3">
      <c r="A210" s="15" t="s">
        <v>216</v>
      </c>
      <c r="B210" s="3">
        <v>160000</v>
      </c>
      <c r="C210" s="3">
        <v>170000</v>
      </c>
      <c r="D210" s="3">
        <v>240000</v>
      </c>
      <c r="E210" s="3">
        <v>250000</v>
      </c>
      <c r="F210" s="3">
        <v>300000</v>
      </c>
      <c r="G210" s="3">
        <v>700000</v>
      </c>
      <c r="H210" s="3">
        <v>850000</v>
      </c>
    </row>
    <row r="211" spans="1:8" x14ac:dyDescent="0.3">
      <c r="A211" s="9" t="s">
        <v>217</v>
      </c>
      <c r="B211" s="2">
        <v>140000</v>
      </c>
      <c r="C211" s="2">
        <v>150000</v>
      </c>
      <c r="D211" s="2">
        <v>190000</v>
      </c>
      <c r="E211" s="2">
        <v>210000</v>
      </c>
      <c r="F211" s="2">
        <v>240000</v>
      </c>
      <c r="G211" s="2">
        <v>450000</v>
      </c>
      <c r="H211" s="2">
        <v>600000</v>
      </c>
    </row>
    <row r="212" spans="1:8" x14ac:dyDescent="0.3">
      <c r="A212" s="9" t="s">
        <v>218</v>
      </c>
      <c r="B212" s="2">
        <v>140000</v>
      </c>
      <c r="C212" s="2">
        <v>150000</v>
      </c>
      <c r="D212" s="2">
        <v>190000</v>
      </c>
      <c r="E212" s="2">
        <v>210000</v>
      </c>
      <c r="F212" s="2">
        <v>240000</v>
      </c>
      <c r="G212" s="2">
        <v>450000</v>
      </c>
      <c r="H212" s="2">
        <v>600000</v>
      </c>
    </row>
    <row r="213" spans="1:8" x14ac:dyDescent="0.3">
      <c r="A213" s="9" t="s">
        <v>219</v>
      </c>
      <c r="B213" s="2">
        <v>140000</v>
      </c>
      <c r="C213" s="2">
        <v>150000</v>
      </c>
      <c r="D213" s="2">
        <v>190000</v>
      </c>
      <c r="E213" s="2">
        <v>210000</v>
      </c>
      <c r="F213" s="2">
        <v>240000</v>
      </c>
      <c r="G213" s="2">
        <v>450000</v>
      </c>
      <c r="H213" s="2">
        <v>600000</v>
      </c>
    </row>
    <row r="214" spans="1:8" x14ac:dyDescent="0.3">
      <c r="A214" s="9" t="s">
        <v>220</v>
      </c>
      <c r="B214" s="2">
        <v>140000</v>
      </c>
      <c r="C214" s="2">
        <v>150000</v>
      </c>
      <c r="D214" s="2">
        <v>190000</v>
      </c>
      <c r="E214" s="2">
        <v>210000</v>
      </c>
      <c r="F214" s="2">
        <v>240000</v>
      </c>
      <c r="G214" s="2">
        <v>450000</v>
      </c>
      <c r="H214" s="2">
        <v>600000</v>
      </c>
    </row>
    <row r="215" spans="1:8" x14ac:dyDescent="0.3">
      <c r="A215" s="9" t="s">
        <v>221</v>
      </c>
      <c r="B215" s="2">
        <v>140000</v>
      </c>
      <c r="C215" s="2">
        <v>150000</v>
      </c>
      <c r="D215" s="2">
        <v>190000</v>
      </c>
      <c r="E215" s="2">
        <v>210000</v>
      </c>
      <c r="F215" s="2">
        <v>240000</v>
      </c>
      <c r="G215" s="2">
        <v>450000</v>
      </c>
      <c r="H215" s="2">
        <v>600000</v>
      </c>
    </row>
    <row r="216" spans="1:8" x14ac:dyDescent="0.3">
      <c r="A216" s="15" t="s">
        <v>222</v>
      </c>
      <c r="B216" s="3">
        <v>160000</v>
      </c>
      <c r="C216" s="3">
        <v>170000</v>
      </c>
      <c r="D216" s="3">
        <v>240000</v>
      </c>
      <c r="E216" s="3">
        <v>250000</v>
      </c>
      <c r="F216" s="3">
        <v>300000</v>
      </c>
      <c r="G216" s="3">
        <v>600000</v>
      </c>
      <c r="H216" s="3">
        <v>750000</v>
      </c>
    </row>
    <row r="217" spans="1:8" x14ac:dyDescent="0.3">
      <c r="A217" s="15" t="s">
        <v>223</v>
      </c>
      <c r="B217" s="3">
        <v>160000</v>
      </c>
      <c r="C217" s="3">
        <v>170000</v>
      </c>
      <c r="D217" s="3">
        <v>240000</v>
      </c>
      <c r="E217" s="3">
        <v>250000</v>
      </c>
      <c r="F217" s="3">
        <v>300000</v>
      </c>
      <c r="G217" s="3">
        <v>700000</v>
      </c>
      <c r="H217" s="3">
        <v>850000</v>
      </c>
    </row>
    <row r="218" spans="1:8" x14ac:dyDescent="0.3">
      <c r="A218" s="9" t="s">
        <v>224</v>
      </c>
      <c r="B218" s="2">
        <v>140000</v>
      </c>
      <c r="C218" s="2">
        <v>150000</v>
      </c>
      <c r="D218" s="2">
        <v>190000</v>
      </c>
      <c r="E218" s="2">
        <v>210000</v>
      </c>
      <c r="F218" s="2">
        <v>240000</v>
      </c>
      <c r="G218" s="2">
        <v>500000</v>
      </c>
      <c r="H218" s="2">
        <v>650000</v>
      </c>
    </row>
    <row r="219" spans="1:8" x14ac:dyDescent="0.3">
      <c r="A219" s="9" t="s">
        <v>225</v>
      </c>
      <c r="B219" s="2">
        <v>140000</v>
      </c>
      <c r="C219" s="2">
        <v>150000</v>
      </c>
      <c r="D219" s="2">
        <v>190000</v>
      </c>
      <c r="E219" s="2">
        <v>210000</v>
      </c>
      <c r="F219" s="2">
        <v>240000</v>
      </c>
      <c r="G219" s="2">
        <v>500000</v>
      </c>
      <c r="H219" s="2">
        <v>650000</v>
      </c>
    </row>
    <row r="220" spans="1:8" x14ac:dyDescent="0.3">
      <c r="A220" s="9" t="s">
        <v>226</v>
      </c>
      <c r="B220" s="2">
        <v>140000</v>
      </c>
      <c r="C220" s="2">
        <v>150000</v>
      </c>
      <c r="D220" s="2">
        <v>190000</v>
      </c>
      <c r="E220" s="2">
        <v>210000</v>
      </c>
      <c r="F220" s="2">
        <v>240000</v>
      </c>
      <c r="G220" s="2">
        <v>500000</v>
      </c>
      <c r="H220" s="2">
        <v>650000</v>
      </c>
    </row>
    <row r="221" spans="1:8" x14ac:dyDescent="0.3">
      <c r="A221" s="9" t="s">
        <v>227</v>
      </c>
      <c r="B221" s="2">
        <v>140000</v>
      </c>
      <c r="C221" s="2">
        <v>150000</v>
      </c>
      <c r="D221" s="2">
        <v>190000</v>
      </c>
      <c r="E221" s="2">
        <v>210000</v>
      </c>
      <c r="F221" s="2">
        <v>240000</v>
      </c>
      <c r="G221" s="2">
        <v>500000</v>
      </c>
      <c r="H221" s="2">
        <v>650000</v>
      </c>
    </row>
    <row r="222" spans="1:8" x14ac:dyDescent="0.3">
      <c r="A222" s="9" t="s">
        <v>228</v>
      </c>
      <c r="B222" s="2">
        <v>140000</v>
      </c>
      <c r="C222" s="2">
        <v>150000</v>
      </c>
      <c r="D222" s="2">
        <v>190000</v>
      </c>
      <c r="E222" s="2">
        <v>210000</v>
      </c>
      <c r="F222" s="2">
        <v>240000</v>
      </c>
      <c r="G222" s="2">
        <v>500000</v>
      </c>
      <c r="H222" s="2">
        <v>650000</v>
      </c>
    </row>
    <row r="223" spans="1:8" x14ac:dyDescent="0.3">
      <c r="A223" s="15" t="s">
        <v>229</v>
      </c>
      <c r="B223" s="3">
        <v>160000</v>
      </c>
      <c r="C223" s="3">
        <v>170000</v>
      </c>
      <c r="D223" s="3">
        <v>240000</v>
      </c>
      <c r="E223" s="3">
        <v>250000</v>
      </c>
      <c r="F223" s="3">
        <v>300000</v>
      </c>
      <c r="G223" s="3">
        <v>700000</v>
      </c>
      <c r="H223" s="3">
        <v>850000</v>
      </c>
    </row>
    <row r="224" spans="1:8" x14ac:dyDescent="0.3">
      <c r="A224" s="15" t="s">
        <v>230</v>
      </c>
      <c r="B224" s="3">
        <v>160000</v>
      </c>
      <c r="C224" s="3">
        <v>170000</v>
      </c>
      <c r="D224" s="3">
        <v>240000</v>
      </c>
      <c r="E224" s="3">
        <v>250000</v>
      </c>
      <c r="F224" s="3">
        <v>300000</v>
      </c>
      <c r="G224" s="3">
        <v>750000</v>
      </c>
      <c r="H224" s="3">
        <v>900000</v>
      </c>
    </row>
    <row r="225" spans="1:8" x14ac:dyDescent="0.3">
      <c r="A225" s="9" t="s">
        <v>231</v>
      </c>
      <c r="B225" s="2">
        <v>140000</v>
      </c>
      <c r="C225" s="2">
        <v>150000</v>
      </c>
      <c r="D225" s="2">
        <v>190000</v>
      </c>
      <c r="E225" s="2">
        <v>210000</v>
      </c>
      <c r="F225" s="2">
        <v>240000</v>
      </c>
      <c r="G225" s="2">
        <v>500000</v>
      </c>
      <c r="H225" s="2">
        <v>650000</v>
      </c>
    </row>
    <row r="226" spans="1:8" x14ac:dyDescent="0.3">
      <c r="A226" s="9" t="s">
        <v>232</v>
      </c>
      <c r="B226" s="2">
        <v>140000</v>
      </c>
      <c r="C226" s="2">
        <v>150000</v>
      </c>
      <c r="D226" s="2">
        <v>190000</v>
      </c>
      <c r="E226" s="2">
        <v>210000</v>
      </c>
      <c r="F226" s="2">
        <v>240000</v>
      </c>
      <c r="G226" s="2">
        <v>500000</v>
      </c>
      <c r="H226" s="2">
        <v>650000</v>
      </c>
    </row>
    <row r="227" spans="1:8" x14ac:dyDescent="0.3">
      <c r="A227" s="9" t="s">
        <v>233</v>
      </c>
      <c r="B227" s="2">
        <v>140000</v>
      </c>
      <c r="C227" s="2">
        <v>150000</v>
      </c>
      <c r="D227" s="2">
        <v>190000</v>
      </c>
      <c r="E227" s="2">
        <v>210000</v>
      </c>
      <c r="F227" s="2">
        <v>240000</v>
      </c>
      <c r="G227" s="2">
        <v>500000</v>
      </c>
      <c r="H227" s="2">
        <v>650000</v>
      </c>
    </row>
    <row r="228" spans="1:8" x14ac:dyDescent="0.3">
      <c r="A228" s="9" t="s">
        <v>234</v>
      </c>
      <c r="B228" s="2">
        <v>140000</v>
      </c>
      <c r="C228" s="2">
        <v>150000</v>
      </c>
      <c r="D228" s="2">
        <v>190000</v>
      </c>
      <c r="E228" s="2">
        <v>210000</v>
      </c>
      <c r="F228" s="2">
        <v>240000</v>
      </c>
      <c r="G228" s="2">
        <v>500000</v>
      </c>
      <c r="H228" s="2">
        <v>650000</v>
      </c>
    </row>
    <row r="229" spans="1:8" x14ac:dyDescent="0.3">
      <c r="A229" s="9" t="s">
        <v>235</v>
      </c>
      <c r="B229" s="2">
        <v>140000</v>
      </c>
      <c r="C229" s="2">
        <v>150000</v>
      </c>
      <c r="D229" s="2">
        <v>190000</v>
      </c>
      <c r="E229" s="2">
        <v>210000</v>
      </c>
      <c r="F229" s="2">
        <v>240000</v>
      </c>
      <c r="G229" s="2">
        <v>500000</v>
      </c>
      <c r="H229" s="2">
        <v>650000</v>
      </c>
    </row>
    <row r="230" spans="1:8" x14ac:dyDescent="0.3">
      <c r="A230" s="15" t="s">
        <v>236</v>
      </c>
      <c r="B230" s="3">
        <v>160000</v>
      </c>
      <c r="C230" s="3">
        <v>170000</v>
      </c>
      <c r="D230" s="3">
        <v>240000</v>
      </c>
      <c r="E230" s="3">
        <v>250000</v>
      </c>
      <c r="F230" s="3">
        <v>300000</v>
      </c>
      <c r="G230" s="3">
        <v>700000</v>
      </c>
      <c r="H230" s="3">
        <v>850000</v>
      </c>
    </row>
    <row r="231" spans="1:8" x14ac:dyDescent="0.3">
      <c r="A231" s="15" t="s">
        <v>237</v>
      </c>
      <c r="B231" s="3">
        <v>160000</v>
      </c>
      <c r="C231" s="3">
        <v>170000</v>
      </c>
      <c r="D231" s="3">
        <v>240000</v>
      </c>
      <c r="E231" s="3">
        <v>250000</v>
      </c>
      <c r="F231" s="3">
        <v>300000</v>
      </c>
      <c r="G231" s="3">
        <v>750000</v>
      </c>
      <c r="H231" s="3">
        <v>900000</v>
      </c>
    </row>
    <row r="232" spans="1:8" x14ac:dyDescent="0.3">
      <c r="A232" s="9" t="s">
        <v>238</v>
      </c>
      <c r="B232" s="2">
        <v>140000</v>
      </c>
      <c r="C232" s="2">
        <v>150000</v>
      </c>
      <c r="D232" s="2">
        <v>190000</v>
      </c>
      <c r="E232" s="2">
        <v>210000</v>
      </c>
      <c r="F232" s="2">
        <v>240000</v>
      </c>
      <c r="G232" s="2">
        <v>500000</v>
      </c>
      <c r="H232" s="2">
        <v>650000</v>
      </c>
    </row>
    <row r="233" spans="1:8" x14ac:dyDescent="0.3">
      <c r="A233" s="9" t="s">
        <v>239</v>
      </c>
      <c r="B233" s="2">
        <v>140000</v>
      </c>
      <c r="C233" s="2">
        <v>150000</v>
      </c>
      <c r="D233" s="2">
        <v>190000</v>
      </c>
      <c r="E233" s="2">
        <v>210000</v>
      </c>
      <c r="F233" s="2">
        <v>240000</v>
      </c>
      <c r="G233" s="2">
        <v>500000</v>
      </c>
      <c r="H233" s="2">
        <v>650000</v>
      </c>
    </row>
    <row r="234" spans="1:8" x14ac:dyDescent="0.3">
      <c r="A234" s="9" t="s">
        <v>240</v>
      </c>
      <c r="B234" s="2">
        <v>140000</v>
      </c>
      <c r="C234" s="2">
        <v>150000</v>
      </c>
      <c r="D234" s="2">
        <v>190000</v>
      </c>
      <c r="E234" s="2">
        <v>210000</v>
      </c>
      <c r="F234" s="2">
        <v>240000</v>
      </c>
      <c r="G234" s="2">
        <v>500000</v>
      </c>
      <c r="H234" s="2">
        <v>650000</v>
      </c>
    </row>
    <row r="235" spans="1:8" x14ac:dyDescent="0.3">
      <c r="A235" s="9" t="s">
        <v>241</v>
      </c>
      <c r="B235" s="2">
        <v>140000</v>
      </c>
      <c r="C235" s="2">
        <v>150000</v>
      </c>
      <c r="D235" s="2">
        <v>190000</v>
      </c>
      <c r="E235" s="2">
        <v>210000</v>
      </c>
      <c r="F235" s="2">
        <v>240000</v>
      </c>
      <c r="G235" s="2">
        <v>500000</v>
      </c>
      <c r="H235" s="2">
        <v>650000</v>
      </c>
    </row>
    <row r="236" spans="1:8" x14ac:dyDescent="0.3">
      <c r="A236" s="9" t="s">
        <v>242</v>
      </c>
      <c r="B236" s="2">
        <v>140000</v>
      </c>
      <c r="C236" s="2">
        <v>150000</v>
      </c>
      <c r="D236" s="2">
        <v>190000</v>
      </c>
      <c r="E236" s="2">
        <v>210000</v>
      </c>
      <c r="F236" s="2">
        <v>240000</v>
      </c>
      <c r="G236" s="2">
        <v>500000</v>
      </c>
      <c r="H236" s="2">
        <v>650000</v>
      </c>
    </row>
    <row r="237" spans="1:8" x14ac:dyDescent="0.3">
      <c r="A237" s="15" t="s">
        <v>243</v>
      </c>
      <c r="B237" s="3">
        <v>160000</v>
      </c>
      <c r="C237" s="3">
        <v>170000</v>
      </c>
      <c r="D237" s="3">
        <v>240000</v>
      </c>
      <c r="E237" s="3">
        <v>250000</v>
      </c>
      <c r="F237" s="3">
        <v>300000</v>
      </c>
      <c r="G237" s="3">
        <v>700000</v>
      </c>
      <c r="H237" s="3">
        <v>850000</v>
      </c>
    </row>
    <row r="238" spans="1:8" x14ac:dyDescent="0.3">
      <c r="A238" s="15" t="s">
        <v>244</v>
      </c>
      <c r="B238" s="3">
        <v>160000</v>
      </c>
      <c r="C238" s="3">
        <v>170000</v>
      </c>
      <c r="D238" s="3">
        <v>240000</v>
      </c>
      <c r="E238" s="3">
        <v>250000</v>
      </c>
      <c r="F238" s="3">
        <v>300000</v>
      </c>
      <c r="G238" s="3">
        <v>750000</v>
      </c>
      <c r="H238" s="3">
        <v>900000</v>
      </c>
    </row>
    <row r="239" spans="1:8" x14ac:dyDescent="0.3">
      <c r="A239" s="9" t="s">
        <v>245</v>
      </c>
      <c r="B239" s="2">
        <v>140000</v>
      </c>
      <c r="C239" s="2">
        <v>150000</v>
      </c>
      <c r="D239" s="2">
        <v>190000</v>
      </c>
      <c r="E239" s="2">
        <v>210000</v>
      </c>
      <c r="F239" s="2">
        <v>240000</v>
      </c>
      <c r="G239" s="2">
        <v>500000</v>
      </c>
      <c r="H239" s="2">
        <v>650000</v>
      </c>
    </row>
    <row r="240" spans="1:8" x14ac:dyDescent="0.3">
      <c r="A240" s="9" t="s">
        <v>246</v>
      </c>
      <c r="B240" s="2">
        <v>140000</v>
      </c>
      <c r="C240" s="2">
        <v>150000</v>
      </c>
      <c r="D240" s="2">
        <v>190000</v>
      </c>
      <c r="E240" s="2">
        <v>210000</v>
      </c>
      <c r="F240" s="2">
        <v>240000</v>
      </c>
      <c r="G240" s="5">
        <v>500000</v>
      </c>
      <c r="H240" s="2">
        <v>650000</v>
      </c>
    </row>
    <row r="241" spans="1:8" x14ac:dyDescent="0.3">
      <c r="A241" s="9" t="s">
        <v>247</v>
      </c>
      <c r="B241" s="2">
        <v>140000</v>
      </c>
      <c r="C241" s="2">
        <v>150000</v>
      </c>
      <c r="D241" s="2">
        <v>190000</v>
      </c>
      <c r="E241" s="2">
        <v>210000</v>
      </c>
      <c r="F241" s="2">
        <v>240000</v>
      </c>
      <c r="G241" s="5">
        <v>500000</v>
      </c>
      <c r="H241" s="2">
        <v>650000</v>
      </c>
    </row>
    <row r="242" spans="1:8" x14ac:dyDescent="0.3">
      <c r="A242" s="9" t="s">
        <v>248</v>
      </c>
      <c r="B242" s="2">
        <v>140000</v>
      </c>
      <c r="C242" s="2">
        <v>150000</v>
      </c>
      <c r="D242" s="2">
        <v>190000</v>
      </c>
      <c r="E242" s="2">
        <v>210000</v>
      </c>
      <c r="F242" s="2">
        <v>240000</v>
      </c>
      <c r="G242" s="2">
        <v>500000</v>
      </c>
      <c r="H242" s="2">
        <v>650000</v>
      </c>
    </row>
    <row r="243" spans="1:8" x14ac:dyDescent="0.3">
      <c r="A243" s="9" t="s">
        <v>249</v>
      </c>
      <c r="B243" s="2">
        <v>140000</v>
      </c>
      <c r="C243" s="2">
        <v>150000</v>
      </c>
      <c r="D243" s="2">
        <v>190000</v>
      </c>
      <c r="E243" s="2">
        <v>210000</v>
      </c>
      <c r="F243" s="2">
        <v>240000</v>
      </c>
      <c r="G243" s="2">
        <v>500000</v>
      </c>
      <c r="H243" s="2">
        <v>650000</v>
      </c>
    </row>
    <row r="244" spans="1:8" x14ac:dyDescent="0.3">
      <c r="A244" s="15" t="s">
        <v>250</v>
      </c>
      <c r="B244" s="3">
        <v>160000</v>
      </c>
      <c r="C244" s="3">
        <v>170000</v>
      </c>
      <c r="D244" s="3">
        <v>240000</v>
      </c>
      <c r="E244" s="3">
        <v>250000</v>
      </c>
      <c r="F244" s="3">
        <v>300000</v>
      </c>
      <c r="G244" s="3">
        <v>700000</v>
      </c>
      <c r="H244" s="3">
        <v>850000</v>
      </c>
    </row>
    <row r="245" spans="1:8" x14ac:dyDescent="0.3">
      <c r="A245" s="15" t="s">
        <v>251</v>
      </c>
      <c r="B245" s="3">
        <v>160000</v>
      </c>
      <c r="C245" s="3">
        <v>170000</v>
      </c>
      <c r="D245" s="3">
        <v>240000</v>
      </c>
      <c r="E245" s="3">
        <v>250000</v>
      </c>
      <c r="F245" s="3">
        <v>300000</v>
      </c>
      <c r="G245" s="3">
        <v>750000</v>
      </c>
      <c r="H245" s="3">
        <v>900000</v>
      </c>
    </row>
    <row r="246" spans="1:8" x14ac:dyDescent="0.3">
      <c r="A246" s="9" t="s">
        <v>252</v>
      </c>
      <c r="B246" s="2">
        <v>140000</v>
      </c>
      <c r="C246" s="2">
        <v>150000</v>
      </c>
      <c r="D246" s="2">
        <v>190000</v>
      </c>
      <c r="E246" s="2">
        <v>210000</v>
      </c>
      <c r="F246" s="2">
        <v>240000</v>
      </c>
      <c r="G246" s="2">
        <v>550000</v>
      </c>
      <c r="H246" s="2">
        <v>700000</v>
      </c>
    </row>
    <row r="247" spans="1:8" x14ac:dyDescent="0.3">
      <c r="A247" s="9" t="s">
        <v>253</v>
      </c>
      <c r="B247" s="2">
        <v>140000</v>
      </c>
      <c r="C247" s="2">
        <v>150000</v>
      </c>
      <c r="D247" s="2">
        <v>190000</v>
      </c>
      <c r="E247" s="2">
        <v>210000</v>
      </c>
      <c r="F247" s="2">
        <v>240000</v>
      </c>
      <c r="G247" s="2">
        <v>550000</v>
      </c>
      <c r="H247" s="2">
        <v>700000</v>
      </c>
    </row>
    <row r="248" spans="1:8" x14ac:dyDescent="0.3">
      <c r="A248" s="9" t="s">
        <v>254</v>
      </c>
      <c r="B248" s="2">
        <v>140000</v>
      </c>
      <c r="C248" s="2">
        <v>150000</v>
      </c>
      <c r="D248" s="2">
        <v>190000</v>
      </c>
      <c r="E248" s="2">
        <v>210000</v>
      </c>
      <c r="F248" s="2">
        <v>240000</v>
      </c>
      <c r="G248" s="2">
        <v>550000</v>
      </c>
      <c r="H248" s="2">
        <v>700000</v>
      </c>
    </row>
    <row r="249" spans="1:8" x14ac:dyDescent="0.3">
      <c r="A249" s="9" t="s">
        <v>255</v>
      </c>
      <c r="B249" s="2">
        <v>140000</v>
      </c>
      <c r="C249" s="2">
        <v>150000</v>
      </c>
      <c r="D249" s="2">
        <v>190000</v>
      </c>
      <c r="E249" s="2">
        <v>210000</v>
      </c>
      <c r="F249" s="2">
        <v>240000</v>
      </c>
      <c r="G249" s="2">
        <v>550000</v>
      </c>
      <c r="H249" s="2">
        <v>700000</v>
      </c>
    </row>
    <row r="250" spans="1:8" x14ac:dyDescent="0.3">
      <c r="A250" s="9" t="s">
        <v>256</v>
      </c>
      <c r="B250" s="2">
        <v>140000</v>
      </c>
      <c r="C250" s="2">
        <v>150000</v>
      </c>
      <c r="D250" s="2">
        <v>190000</v>
      </c>
      <c r="E250" s="2">
        <v>210000</v>
      </c>
      <c r="F250" s="2">
        <v>240000</v>
      </c>
      <c r="G250" s="2">
        <v>550000</v>
      </c>
      <c r="H250" s="2">
        <v>700000</v>
      </c>
    </row>
    <row r="251" spans="1:8" x14ac:dyDescent="0.3">
      <c r="A251" s="15" t="s">
        <v>257</v>
      </c>
      <c r="B251" s="3">
        <v>160000</v>
      </c>
      <c r="C251" s="3">
        <v>170000</v>
      </c>
      <c r="D251" s="3">
        <v>240000</v>
      </c>
      <c r="E251" s="3">
        <v>250000</v>
      </c>
      <c r="F251" s="3">
        <v>300000</v>
      </c>
      <c r="G251" s="3">
        <v>750000</v>
      </c>
      <c r="H251" s="3">
        <v>900000</v>
      </c>
    </row>
    <row r="252" spans="1:8" x14ac:dyDescent="0.3">
      <c r="A252" s="15" t="s">
        <v>258</v>
      </c>
      <c r="B252" s="3">
        <v>160000</v>
      </c>
      <c r="C252" s="3">
        <v>170000</v>
      </c>
      <c r="D252" s="3">
        <v>240000</v>
      </c>
      <c r="E252" s="3">
        <v>250000</v>
      </c>
      <c r="F252" s="3">
        <v>300000</v>
      </c>
      <c r="G252" s="3">
        <v>800000</v>
      </c>
      <c r="H252" s="3">
        <v>950000</v>
      </c>
    </row>
    <row r="253" spans="1:8" x14ac:dyDescent="0.3">
      <c r="A253" s="9" t="s">
        <v>259</v>
      </c>
      <c r="B253" s="2">
        <v>140000</v>
      </c>
      <c r="C253" s="2">
        <v>150000</v>
      </c>
      <c r="D253" s="2">
        <v>190000</v>
      </c>
      <c r="E253" s="2">
        <v>210000</v>
      </c>
      <c r="F253" s="2">
        <v>240000</v>
      </c>
      <c r="G253" s="2">
        <v>550000</v>
      </c>
      <c r="H253" s="2">
        <v>700000</v>
      </c>
    </row>
    <row r="254" spans="1:8" x14ac:dyDescent="0.3">
      <c r="A254" s="9" t="s">
        <v>260</v>
      </c>
      <c r="B254" s="2">
        <v>140000</v>
      </c>
      <c r="C254" s="2">
        <v>150000</v>
      </c>
      <c r="D254" s="2">
        <v>190000</v>
      </c>
      <c r="E254" s="2">
        <v>210000</v>
      </c>
      <c r="F254" s="2">
        <v>240000</v>
      </c>
      <c r="G254" s="2">
        <v>550000</v>
      </c>
      <c r="H254" s="2">
        <v>700000</v>
      </c>
    </row>
    <row r="255" spans="1:8" x14ac:dyDescent="0.3">
      <c r="A255" s="9" t="s">
        <v>261</v>
      </c>
      <c r="B255" s="2">
        <v>140000</v>
      </c>
      <c r="C255" s="2">
        <v>150000</v>
      </c>
      <c r="D255" s="2">
        <v>190000</v>
      </c>
      <c r="E255" s="2">
        <v>210000</v>
      </c>
      <c r="F255" s="2">
        <v>240000</v>
      </c>
      <c r="G255" s="2">
        <v>550000</v>
      </c>
      <c r="H255" s="2">
        <v>700000</v>
      </c>
    </row>
    <row r="256" spans="1:8" x14ac:dyDescent="0.3">
      <c r="A256" s="9" t="s">
        <v>262</v>
      </c>
      <c r="B256" s="2">
        <v>140000</v>
      </c>
      <c r="C256" s="2">
        <v>150000</v>
      </c>
      <c r="D256" s="2">
        <v>190000</v>
      </c>
      <c r="E256" s="2">
        <v>210000</v>
      </c>
      <c r="F256" s="2">
        <v>240000</v>
      </c>
      <c r="G256" s="2">
        <v>550000</v>
      </c>
      <c r="H256" s="2">
        <v>700000</v>
      </c>
    </row>
    <row r="257" spans="1:8" x14ac:dyDescent="0.3">
      <c r="A257" s="9" t="s">
        <v>263</v>
      </c>
      <c r="B257" s="2">
        <v>140000</v>
      </c>
      <c r="C257" s="2">
        <v>150000</v>
      </c>
      <c r="D257" s="2">
        <v>190000</v>
      </c>
      <c r="E257" s="2">
        <v>210000</v>
      </c>
      <c r="F257" s="2">
        <v>240000</v>
      </c>
      <c r="G257" s="2">
        <v>550000</v>
      </c>
      <c r="H257" s="2">
        <v>700000</v>
      </c>
    </row>
    <row r="258" spans="1:8" x14ac:dyDescent="0.3">
      <c r="A258" s="15" t="s">
        <v>264</v>
      </c>
      <c r="B258" s="3">
        <v>160000</v>
      </c>
      <c r="C258" s="3">
        <v>170000</v>
      </c>
      <c r="D258" s="3">
        <v>240000</v>
      </c>
      <c r="E258" s="3">
        <v>250000</v>
      </c>
      <c r="F258" s="3">
        <v>300000</v>
      </c>
      <c r="G258" s="3">
        <v>750000</v>
      </c>
      <c r="H258" s="3">
        <v>900000</v>
      </c>
    </row>
    <row r="259" spans="1:8" x14ac:dyDescent="0.3">
      <c r="A259" s="15" t="s">
        <v>265</v>
      </c>
      <c r="B259" s="3">
        <v>160000</v>
      </c>
      <c r="C259" s="3">
        <v>170000</v>
      </c>
      <c r="D259" s="3">
        <v>240000</v>
      </c>
      <c r="E259" s="3">
        <v>250000</v>
      </c>
      <c r="F259" s="3">
        <v>300000</v>
      </c>
      <c r="G259" s="3">
        <v>800000</v>
      </c>
      <c r="H259" s="3">
        <v>950000</v>
      </c>
    </row>
    <row r="260" spans="1:8" x14ac:dyDescent="0.3">
      <c r="A260" s="9" t="s">
        <v>266</v>
      </c>
      <c r="B260" s="2">
        <v>140000</v>
      </c>
      <c r="C260" s="2">
        <v>150000</v>
      </c>
      <c r="D260" s="2">
        <v>190000</v>
      </c>
      <c r="E260" s="2">
        <v>210000</v>
      </c>
      <c r="F260" s="2">
        <v>240000</v>
      </c>
      <c r="G260" s="2">
        <v>550000</v>
      </c>
      <c r="H260" s="2">
        <v>700000</v>
      </c>
    </row>
    <row r="261" spans="1:8" x14ac:dyDescent="0.3">
      <c r="A261" s="9" t="s">
        <v>267</v>
      </c>
      <c r="B261" s="2">
        <v>140000</v>
      </c>
      <c r="C261" s="2">
        <v>150000</v>
      </c>
      <c r="D261" s="2">
        <v>190000</v>
      </c>
      <c r="E261" s="2">
        <v>210000</v>
      </c>
      <c r="F261" s="2">
        <v>240000</v>
      </c>
      <c r="G261" s="2">
        <v>550000</v>
      </c>
      <c r="H261" s="2">
        <v>700000</v>
      </c>
    </row>
    <row r="262" spans="1:8" x14ac:dyDescent="0.3">
      <c r="A262" s="9" t="s">
        <v>268</v>
      </c>
      <c r="B262" s="2">
        <v>140000</v>
      </c>
      <c r="C262" s="2">
        <v>150000</v>
      </c>
      <c r="D262" s="2">
        <v>190000</v>
      </c>
      <c r="E262" s="2">
        <v>210000</v>
      </c>
      <c r="F262" s="2">
        <v>240000</v>
      </c>
      <c r="G262" s="2">
        <v>550000</v>
      </c>
      <c r="H262" s="2">
        <v>700000</v>
      </c>
    </row>
    <row r="263" spans="1:8" x14ac:dyDescent="0.3">
      <c r="A263" s="9" t="s">
        <v>269</v>
      </c>
      <c r="B263" s="2">
        <v>140000</v>
      </c>
      <c r="C263" s="2">
        <v>150000</v>
      </c>
      <c r="D263" s="2">
        <v>190000</v>
      </c>
      <c r="E263" s="2">
        <v>210000</v>
      </c>
      <c r="F263" s="2">
        <v>240000</v>
      </c>
      <c r="G263" s="2">
        <v>550000</v>
      </c>
      <c r="H263" s="2">
        <v>700000</v>
      </c>
    </row>
    <row r="264" spans="1:8" x14ac:dyDescent="0.3">
      <c r="A264" s="9" t="s">
        <v>270</v>
      </c>
      <c r="B264" s="2">
        <v>140000</v>
      </c>
      <c r="C264" s="2">
        <v>150000</v>
      </c>
      <c r="D264" s="2">
        <v>190000</v>
      </c>
      <c r="E264" s="2">
        <v>210000</v>
      </c>
      <c r="F264" s="2">
        <v>240000</v>
      </c>
      <c r="G264" s="2">
        <v>550000</v>
      </c>
      <c r="H264" s="2">
        <v>700000</v>
      </c>
    </row>
    <row r="265" spans="1:8" x14ac:dyDescent="0.3">
      <c r="A265" s="15" t="s">
        <v>271</v>
      </c>
      <c r="B265" s="3">
        <v>160000</v>
      </c>
      <c r="C265" s="3">
        <v>170000</v>
      </c>
      <c r="D265" s="3">
        <v>240000</v>
      </c>
      <c r="E265" s="3">
        <v>250000</v>
      </c>
      <c r="F265" s="3">
        <v>300000</v>
      </c>
      <c r="G265" s="3">
        <v>750000</v>
      </c>
      <c r="H265" s="3">
        <v>900000</v>
      </c>
    </row>
    <row r="266" spans="1:8" x14ac:dyDescent="0.3">
      <c r="A266" s="15" t="s">
        <v>272</v>
      </c>
      <c r="B266" s="3">
        <v>160000</v>
      </c>
      <c r="C266" s="3">
        <v>170000</v>
      </c>
      <c r="D266" s="3">
        <v>240000</v>
      </c>
      <c r="E266" s="3">
        <v>250000</v>
      </c>
      <c r="F266" s="3">
        <v>300000</v>
      </c>
      <c r="G266" s="3">
        <v>800000</v>
      </c>
      <c r="H266" s="3">
        <v>950000</v>
      </c>
    </row>
    <row r="267" spans="1:8" x14ac:dyDescent="0.3">
      <c r="A267" s="9" t="s">
        <v>273</v>
      </c>
      <c r="B267" s="2">
        <v>140000</v>
      </c>
      <c r="C267" s="2">
        <v>150000</v>
      </c>
      <c r="D267" s="2">
        <v>190000</v>
      </c>
      <c r="E267" s="2">
        <v>210000</v>
      </c>
      <c r="F267" s="2">
        <v>240000</v>
      </c>
      <c r="G267" s="2">
        <v>550000</v>
      </c>
      <c r="H267" s="2">
        <v>700000</v>
      </c>
    </row>
    <row r="268" spans="1:8" x14ac:dyDescent="0.3">
      <c r="A268" s="9" t="s">
        <v>274</v>
      </c>
      <c r="B268" s="2">
        <v>140000</v>
      </c>
      <c r="C268" s="2">
        <v>150000</v>
      </c>
      <c r="D268" s="2">
        <v>190000</v>
      </c>
      <c r="E268" s="2">
        <v>210000</v>
      </c>
      <c r="F268" s="2">
        <v>240000</v>
      </c>
      <c r="G268" s="2">
        <v>550000</v>
      </c>
      <c r="H268" s="2">
        <v>700000</v>
      </c>
    </row>
    <row r="269" spans="1:8" x14ac:dyDescent="0.3">
      <c r="A269" s="9" t="s">
        <v>275</v>
      </c>
      <c r="B269" s="2">
        <v>140000</v>
      </c>
      <c r="C269" s="2">
        <v>150000</v>
      </c>
      <c r="D269" s="2">
        <v>190000</v>
      </c>
      <c r="E269" s="2">
        <v>210000</v>
      </c>
      <c r="F269" s="2">
        <v>240000</v>
      </c>
      <c r="G269" s="2">
        <v>550000</v>
      </c>
      <c r="H269" s="2">
        <v>700000</v>
      </c>
    </row>
    <row r="270" spans="1:8" x14ac:dyDescent="0.3">
      <c r="A270" s="9" t="s">
        <v>276</v>
      </c>
      <c r="B270" s="2">
        <v>140000</v>
      </c>
      <c r="C270" s="2">
        <v>150000</v>
      </c>
      <c r="D270" s="2">
        <v>190000</v>
      </c>
      <c r="E270" s="2">
        <v>210000</v>
      </c>
      <c r="F270" s="2">
        <v>240000</v>
      </c>
      <c r="G270" s="2">
        <v>550000</v>
      </c>
      <c r="H270" s="2">
        <v>700000</v>
      </c>
    </row>
    <row r="271" spans="1:8" x14ac:dyDescent="0.3">
      <c r="A271" s="9" t="s">
        <v>277</v>
      </c>
      <c r="B271" s="2">
        <v>140000</v>
      </c>
      <c r="C271" s="2">
        <v>150000</v>
      </c>
      <c r="D271" s="2">
        <v>190000</v>
      </c>
      <c r="E271" s="2">
        <v>210000</v>
      </c>
      <c r="F271" s="2">
        <v>240000</v>
      </c>
      <c r="G271" s="2">
        <v>550000</v>
      </c>
      <c r="H271" s="2">
        <v>700000</v>
      </c>
    </row>
    <row r="272" spans="1:8" x14ac:dyDescent="0.3">
      <c r="A272" s="15" t="s">
        <v>278</v>
      </c>
      <c r="B272" s="3">
        <v>160000</v>
      </c>
      <c r="C272" s="3">
        <v>170000</v>
      </c>
      <c r="D272" s="3">
        <v>240000</v>
      </c>
      <c r="E272" s="3">
        <v>250000</v>
      </c>
      <c r="F272" s="3">
        <v>300000</v>
      </c>
      <c r="G272" s="3">
        <v>750000</v>
      </c>
      <c r="H272" s="3">
        <v>900000</v>
      </c>
    </row>
    <row r="273" spans="1:8" x14ac:dyDescent="0.3">
      <c r="A273" s="15" t="s">
        <v>279</v>
      </c>
      <c r="B273" s="3">
        <v>160000</v>
      </c>
      <c r="C273" s="3">
        <v>170000</v>
      </c>
      <c r="D273" s="3">
        <v>240000</v>
      </c>
      <c r="E273" s="3">
        <v>250000</v>
      </c>
      <c r="F273" s="3">
        <v>300000</v>
      </c>
      <c r="G273" s="3">
        <v>800000</v>
      </c>
      <c r="H273" s="3">
        <v>950000</v>
      </c>
    </row>
    <row r="274" spans="1:8" x14ac:dyDescent="0.3">
      <c r="A274" s="9" t="s">
        <v>280</v>
      </c>
      <c r="B274" s="2">
        <v>140000</v>
      </c>
      <c r="C274" s="2">
        <v>150000</v>
      </c>
      <c r="D274" s="2">
        <v>190000</v>
      </c>
      <c r="E274" s="2">
        <v>210000</v>
      </c>
      <c r="F274" s="2">
        <v>240000</v>
      </c>
      <c r="G274" s="2">
        <v>550000</v>
      </c>
      <c r="H274" s="2">
        <v>700000</v>
      </c>
    </row>
    <row r="275" spans="1:8" x14ac:dyDescent="0.3">
      <c r="A275" s="9" t="s">
        <v>281</v>
      </c>
      <c r="B275" s="2">
        <v>140000</v>
      </c>
      <c r="C275" s="2">
        <v>150000</v>
      </c>
      <c r="D275" s="2">
        <v>190000</v>
      </c>
      <c r="E275" s="2">
        <v>210000</v>
      </c>
      <c r="F275" s="2">
        <v>240000</v>
      </c>
      <c r="G275" s="2">
        <v>550000</v>
      </c>
      <c r="H275" s="2">
        <v>700000</v>
      </c>
    </row>
    <row r="276" spans="1:8" x14ac:dyDescent="0.3">
      <c r="A276" s="9" t="s">
        <v>282</v>
      </c>
      <c r="B276" s="2">
        <v>140000</v>
      </c>
      <c r="C276" s="2">
        <v>150000</v>
      </c>
      <c r="D276" s="2">
        <v>190000</v>
      </c>
      <c r="E276" s="2">
        <v>210000</v>
      </c>
      <c r="F276" s="2">
        <v>240000</v>
      </c>
      <c r="G276" s="2">
        <v>550000</v>
      </c>
      <c r="H276" s="2">
        <v>700000</v>
      </c>
    </row>
    <row r="277" spans="1:8" x14ac:dyDescent="0.3">
      <c r="A277" s="9" t="s">
        <v>283</v>
      </c>
      <c r="B277" s="2">
        <v>140000</v>
      </c>
      <c r="C277" s="2">
        <v>150000</v>
      </c>
      <c r="D277" s="2">
        <v>190000</v>
      </c>
      <c r="E277" s="2">
        <v>210000</v>
      </c>
      <c r="F277" s="2">
        <v>240000</v>
      </c>
      <c r="G277" s="2">
        <v>550000</v>
      </c>
      <c r="H277" s="2">
        <v>700000</v>
      </c>
    </row>
    <row r="278" spans="1:8" x14ac:dyDescent="0.3">
      <c r="A278" s="9" t="s">
        <v>284</v>
      </c>
      <c r="B278" s="2">
        <v>140000</v>
      </c>
      <c r="C278" s="2">
        <v>150000</v>
      </c>
      <c r="D278" s="2">
        <v>190000</v>
      </c>
      <c r="E278" s="2">
        <v>210000</v>
      </c>
      <c r="F278" s="2">
        <v>240000</v>
      </c>
      <c r="G278" s="2">
        <v>550000</v>
      </c>
      <c r="H278" s="2">
        <v>700000</v>
      </c>
    </row>
    <row r="279" spans="1:8" x14ac:dyDescent="0.3">
      <c r="A279" s="15" t="s">
        <v>285</v>
      </c>
      <c r="B279" s="3">
        <v>160000</v>
      </c>
      <c r="C279" s="3">
        <v>170000</v>
      </c>
      <c r="D279" s="3">
        <v>240000</v>
      </c>
      <c r="E279" s="3">
        <v>250000</v>
      </c>
      <c r="F279" s="3">
        <v>300000</v>
      </c>
      <c r="G279" s="3">
        <v>750000</v>
      </c>
      <c r="H279" s="3">
        <v>900000</v>
      </c>
    </row>
    <row r="280" spans="1:8" x14ac:dyDescent="0.3">
      <c r="A280" s="15" t="s">
        <v>286</v>
      </c>
      <c r="B280" s="3">
        <v>160000</v>
      </c>
      <c r="C280" s="3">
        <v>170000</v>
      </c>
      <c r="D280" s="3">
        <v>240000</v>
      </c>
      <c r="E280" s="3">
        <v>250000</v>
      </c>
      <c r="F280" s="3">
        <v>300000</v>
      </c>
      <c r="G280" s="3">
        <v>800000</v>
      </c>
      <c r="H280" s="3">
        <v>950000</v>
      </c>
    </row>
    <row r="281" spans="1:8" x14ac:dyDescent="0.3">
      <c r="A281" s="9" t="s">
        <v>287</v>
      </c>
      <c r="B281" s="2">
        <v>140000</v>
      </c>
      <c r="C281" s="2">
        <v>150000</v>
      </c>
      <c r="D281" s="2">
        <v>190000</v>
      </c>
      <c r="E281" s="2">
        <v>210000</v>
      </c>
      <c r="F281" s="2">
        <v>240000</v>
      </c>
      <c r="G281" s="2">
        <v>550000</v>
      </c>
      <c r="H281" s="2">
        <v>700000</v>
      </c>
    </row>
    <row r="282" spans="1:8" x14ac:dyDescent="0.3">
      <c r="A282" s="9" t="s">
        <v>288</v>
      </c>
      <c r="B282" s="2">
        <v>140000</v>
      </c>
      <c r="C282" s="2">
        <v>150000</v>
      </c>
      <c r="D282" s="2">
        <v>190000</v>
      </c>
      <c r="E282" s="2">
        <v>210000</v>
      </c>
      <c r="F282" s="2">
        <v>240000</v>
      </c>
      <c r="G282" s="2">
        <v>550000</v>
      </c>
      <c r="H282" s="2">
        <v>700000</v>
      </c>
    </row>
    <row r="283" spans="1:8" x14ac:dyDescent="0.3">
      <c r="A283" s="9" t="s">
        <v>289</v>
      </c>
      <c r="B283" s="2">
        <v>140000</v>
      </c>
      <c r="C283" s="2">
        <v>150000</v>
      </c>
      <c r="D283" s="2">
        <v>190000</v>
      </c>
      <c r="E283" s="2">
        <v>210000</v>
      </c>
      <c r="F283" s="2">
        <v>240000</v>
      </c>
      <c r="G283" s="2">
        <v>550000</v>
      </c>
      <c r="H283" s="2">
        <v>700000</v>
      </c>
    </row>
    <row r="284" spans="1:8" x14ac:dyDescent="0.3">
      <c r="A284" s="9" t="s">
        <v>290</v>
      </c>
      <c r="B284" s="2">
        <v>140000</v>
      </c>
      <c r="C284" s="2">
        <v>150000</v>
      </c>
      <c r="D284" s="2">
        <v>190000</v>
      </c>
      <c r="E284" s="2">
        <v>210000</v>
      </c>
      <c r="F284" s="2">
        <v>240000</v>
      </c>
      <c r="G284" s="2">
        <v>550000</v>
      </c>
      <c r="H284" s="2">
        <v>700000</v>
      </c>
    </row>
    <row r="285" spans="1:8" x14ac:dyDescent="0.3">
      <c r="A285" s="9" t="s">
        <v>291</v>
      </c>
      <c r="B285" s="2">
        <v>140000</v>
      </c>
      <c r="C285" s="2">
        <v>150000</v>
      </c>
      <c r="D285" s="2">
        <v>190000</v>
      </c>
      <c r="E285" s="2">
        <v>210000</v>
      </c>
      <c r="F285" s="2">
        <v>240000</v>
      </c>
      <c r="G285" s="2">
        <v>550000</v>
      </c>
      <c r="H285" s="2">
        <v>700000</v>
      </c>
    </row>
    <row r="286" spans="1:8" x14ac:dyDescent="0.3">
      <c r="A286" s="15" t="s">
        <v>292</v>
      </c>
      <c r="B286" s="3">
        <v>160000</v>
      </c>
      <c r="C286" s="3">
        <v>170000</v>
      </c>
      <c r="D286" s="3">
        <v>240000</v>
      </c>
      <c r="E286" s="3">
        <v>250000</v>
      </c>
      <c r="F286" s="3">
        <v>300000</v>
      </c>
      <c r="G286" s="3">
        <v>750000</v>
      </c>
      <c r="H286" s="3">
        <v>900000</v>
      </c>
    </row>
    <row r="287" spans="1:8" x14ac:dyDescent="0.3">
      <c r="A287" s="15" t="s">
        <v>293</v>
      </c>
      <c r="B287" s="3">
        <v>160000</v>
      </c>
      <c r="C287" s="3">
        <v>170000</v>
      </c>
      <c r="D287" s="3">
        <v>240000</v>
      </c>
      <c r="E287" s="3">
        <v>250000</v>
      </c>
      <c r="F287" s="3">
        <v>300000</v>
      </c>
      <c r="G287" s="3">
        <v>800000</v>
      </c>
      <c r="H287" s="3">
        <v>950000</v>
      </c>
    </row>
    <row r="288" spans="1:8" x14ac:dyDescent="0.3">
      <c r="A288" s="9" t="s">
        <v>294</v>
      </c>
      <c r="B288" s="2">
        <v>140000</v>
      </c>
      <c r="C288" s="2">
        <v>150000</v>
      </c>
      <c r="D288" s="2">
        <v>190000</v>
      </c>
      <c r="E288" s="2">
        <v>210000</v>
      </c>
      <c r="F288" s="2">
        <v>240000</v>
      </c>
      <c r="G288" s="2">
        <v>550000</v>
      </c>
      <c r="H288" s="2">
        <v>700000</v>
      </c>
    </row>
    <row r="289" spans="1:8" x14ac:dyDescent="0.3">
      <c r="A289" s="9" t="s">
        <v>295</v>
      </c>
      <c r="B289" s="2">
        <v>140000</v>
      </c>
      <c r="C289" s="2">
        <v>150000</v>
      </c>
      <c r="D289" s="2">
        <v>190000</v>
      </c>
      <c r="E289" s="2">
        <v>210000</v>
      </c>
      <c r="F289" s="2">
        <v>240000</v>
      </c>
      <c r="G289" s="2">
        <v>550000</v>
      </c>
      <c r="H289" s="2">
        <v>700000</v>
      </c>
    </row>
    <row r="290" spans="1:8" x14ac:dyDescent="0.3">
      <c r="A290" s="9" t="s">
        <v>296</v>
      </c>
      <c r="B290" s="2">
        <v>140000</v>
      </c>
      <c r="C290" s="2">
        <v>150000</v>
      </c>
      <c r="D290" s="2">
        <v>190000</v>
      </c>
      <c r="E290" s="2">
        <v>210000</v>
      </c>
      <c r="F290" s="2">
        <v>240000</v>
      </c>
      <c r="G290" s="2">
        <v>550000</v>
      </c>
      <c r="H290" s="2">
        <v>700000</v>
      </c>
    </row>
    <row r="291" spans="1:8" x14ac:dyDescent="0.3">
      <c r="A291" s="9" t="s">
        <v>297</v>
      </c>
      <c r="B291" s="2">
        <v>140000</v>
      </c>
      <c r="C291" s="2">
        <v>150000</v>
      </c>
      <c r="D291" s="2">
        <v>190000</v>
      </c>
      <c r="E291" s="2">
        <v>210000</v>
      </c>
      <c r="F291" s="2">
        <v>240000</v>
      </c>
      <c r="G291" s="2">
        <v>550000</v>
      </c>
      <c r="H291" s="2">
        <v>700000</v>
      </c>
    </row>
    <row r="292" spans="1:8" x14ac:dyDescent="0.3">
      <c r="A292" s="9" t="s">
        <v>298</v>
      </c>
      <c r="B292" s="2">
        <v>140000</v>
      </c>
      <c r="C292" s="2">
        <v>150000</v>
      </c>
      <c r="D292" s="2">
        <v>190000</v>
      </c>
      <c r="E292" s="2">
        <v>210000</v>
      </c>
      <c r="F292" s="2">
        <v>240000</v>
      </c>
      <c r="G292" s="2">
        <v>550000</v>
      </c>
      <c r="H292" s="2">
        <v>700000</v>
      </c>
    </row>
    <row r="293" spans="1:8" x14ac:dyDescent="0.3">
      <c r="A293" s="15" t="s">
        <v>299</v>
      </c>
      <c r="B293" s="3">
        <v>160000</v>
      </c>
      <c r="C293" s="3">
        <v>170000</v>
      </c>
      <c r="D293" s="3">
        <v>240000</v>
      </c>
      <c r="E293" s="3">
        <v>250000</v>
      </c>
      <c r="F293" s="3">
        <v>300000</v>
      </c>
      <c r="G293" s="3">
        <v>750000</v>
      </c>
      <c r="H293" s="3">
        <v>900000</v>
      </c>
    </row>
    <row r="294" spans="1:8" x14ac:dyDescent="0.3">
      <c r="A294" s="15" t="s">
        <v>300</v>
      </c>
      <c r="B294" s="3">
        <v>160000</v>
      </c>
      <c r="C294" s="3">
        <v>170000</v>
      </c>
      <c r="D294" s="3">
        <v>240000</v>
      </c>
      <c r="E294" s="3">
        <v>250000</v>
      </c>
      <c r="F294" s="3">
        <v>300000</v>
      </c>
      <c r="G294" s="3">
        <v>800000</v>
      </c>
      <c r="H294" s="3">
        <v>950000</v>
      </c>
    </row>
    <row r="295" spans="1:8" x14ac:dyDescent="0.3">
      <c r="A295" s="9" t="s">
        <v>301</v>
      </c>
      <c r="B295" s="2">
        <v>140000</v>
      </c>
      <c r="C295" s="2">
        <v>150000</v>
      </c>
      <c r="D295" s="2">
        <v>190000</v>
      </c>
      <c r="E295" s="2">
        <v>210000</v>
      </c>
      <c r="F295" s="2">
        <v>240000</v>
      </c>
      <c r="G295" s="2">
        <v>550000</v>
      </c>
      <c r="H295" s="2">
        <v>700000</v>
      </c>
    </row>
    <row r="296" spans="1:8" x14ac:dyDescent="0.3">
      <c r="A296" s="9" t="s">
        <v>302</v>
      </c>
      <c r="B296" s="2">
        <v>140000</v>
      </c>
      <c r="C296" s="2">
        <v>150000</v>
      </c>
      <c r="D296" s="2">
        <v>190000</v>
      </c>
      <c r="E296" s="2">
        <v>210000</v>
      </c>
      <c r="F296" s="2">
        <v>240000</v>
      </c>
      <c r="G296" s="2">
        <v>550000</v>
      </c>
      <c r="H296" s="2">
        <v>700000</v>
      </c>
    </row>
    <row r="297" spans="1:8" x14ac:dyDescent="0.3">
      <c r="A297" s="9" t="s">
        <v>303</v>
      </c>
      <c r="B297" s="2">
        <v>140000</v>
      </c>
      <c r="C297" s="2">
        <v>150000</v>
      </c>
      <c r="D297" s="2">
        <v>190000</v>
      </c>
      <c r="E297" s="2">
        <v>210000</v>
      </c>
      <c r="F297" s="2">
        <v>240000</v>
      </c>
      <c r="G297" s="2">
        <v>550000</v>
      </c>
      <c r="H297" s="2">
        <v>700000</v>
      </c>
    </row>
    <row r="298" spans="1:8" x14ac:dyDescent="0.3">
      <c r="A298" s="9" t="s">
        <v>304</v>
      </c>
      <c r="B298" s="2">
        <v>140000</v>
      </c>
      <c r="C298" s="2">
        <v>150000</v>
      </c>
      <c r="D298" s="2">
        <v>190000</v>
      </c>
      <c r="E298" s="2">
        <v>210000</v>
      </c>
      <c r="F298" s="2">
        <v>240000</v>
      </c>
      <c r="G298" s="2">
        <v>550000</v>
      </c>
      <c r="H298" s="2">
        <v>700000</v>
      </c>
    </row>
    <row r="299" spans="1:8" x14ac:dyDescent="0.3">
      <c r="A299" s="9" t="s">
        <v>305</v>
      </c>
      <c r="B299" s="2">
        <v>140000</v>
      </c>
      <c r="C299" s="2">
        <v>150000</v>
      </c>
      <c r="D299" s="2">
        <v>190000</v>
      </c>
      <c r="E299" s="2">
        <v>210000</v>
      </c>
      <c r="F299" s="2">
        <v>240000</v>
      </c>
      <c r="G299" s="2">
        <v>550000</v>
      </c>
      <c r="H299" s="2">
        <v>700000</v>
      </c>
    </row>
    <row r="300" spans="1:8" x14ac:dyDescent="0.3">
      <c r="A300" s="15" t="s">
        <v>306</v>
      </c>
      <c r="B300" s="3">
        <v>160000</v>
      </c>
      <c r="C300" s="3">
        <v>170000</v>
      </c>
      <c r="D300" s="3">
        <v>240000</v>
      </c>
      <c r="E300" s="3">
        <v>250000</v>
      </c>
      <c r="F300" s="3">
        <v>300000</v>
      </c>
      <c r="G300" s="3">
        <v>750000</v>
      </c>
      <c r="H300" s="3">
        <v>900000</v>
      </c>
    </row>
    <row r="301" spans="1:8" x14ac:dyDescent="0.3">
      <c r="A301" s="15" t="s">
        <v>307</v>
      </c>
      <c r="B301" s="3">
        <v>160000</v>
      </c>
      <c r="C301" s="3">
        <v>170000</v>
      </c>
      <c r="D301" s="3">
        <v>240000</v>
      </c>
      <c r="E301" s="3">
        <v>250000</v>
      </c>
      <c r="F301" s="3">
        <v>300000</v>
      </c>
      <c r="G301" s="3">
        <v>800000</v>
      </c>
      <c r="H301" s="3">
        <v>950000</v>
      </c>
    </row>
    <row r="302" spans="1:8" x14ac:dyDescent="0.3">
      <c r="A302" s="9" t="s">
        <v>308</v>
      </c>
      <c r="B302" s="2">
        <v>140000</v>
      </c>
      <c r="C302" s="2">
        <v>150000</v>
      </c>
      <c r="D302" s="2">
        <v>190000</v>
      </c>
      <c r="E302" s="2">
        <v>210000</v>
      </c>
      <c r="F302" s="2">
        <v>240000</v>
      </c>
      <c r="G302" s="2">
        <v>550000</v>
      </c>
      <c r="H302" s="2">
        <v>700000</v>
      </c>
    </row>
    <row r="303" spans="1:8" x14ac:dyDescent="0.3">
      <c r="A303" s="9" t="s">
        <v>309</v>
      </c>
      <c r="B303" s="2">
        <v>140000</v>
      </c>
      <c r="C303" s="2">
        <v>150000</v>
      </c>
      <c r="D303" s="2">
        <v>190000</v>
      </c>
      <c r="E303" s="2">
        <v>210000</v>
      </c>
      <c r="F303" s="2">
        <v>240000</v>
      </c>
      <c r="G303" s="2">
        <v>550000</v>
      </c>
      <c r="H303" s="2">
        <v>700000</v>
      </c>
    </row>
    <row r="304" spans="1:8" x14ac:dyDescent="0.3">
      <c r="A304" s="9" t="s">
        <v>310</v>
      </c>
      <c r="B304" s="2">
        <v>140000</v>
      </c>
      <c r="C304" s="2">
        <v>150000</v>
      </c>
      <c r="D304" s="2">
        <v>190000</v>
      </c>
      <c r="E304" s="2">
        <v>210000</v>
      </c>
      <c r="F304" s="2">
        <v>240000</v>
      </c>
      <c r="G304" s="2">
        <v>550000</v>
      </c>
      <c r="H304" s="2">
        <v>700000</v>
      </c>
    </row>
    <row r="305" spans="1:8" x14ac:dyDescent="0.3">
      <c r="A305" s="9" t="s">
        <v>311</v>
      </c>
      <c r="B305" s="2">
        <v>140000</v>
      </c>
      <c r="C305" s="2">
        <v>150000</v>
      </c>
      <c r="D305" s="2">
        <v>190000</v>
      </c>
      <c r="E305" s="2">
        <v>210000</v>
      </c>
      <c r="F305" s="2">
        <v>240000</v>
      </c>
      <c r="G305" s="2">
        <v>550000</v>
      </c>
      <c r="H305" s="2">
        <v>700000</v>
      </c>
    </row>
    <row r="306" spans="1:8" x14ac:dyDescent="0.3">
      <c r="A306" s="9" t="s">
        <v>312</v>
      </c>
      <c r="B306" s="2">
        <v>140000</v>
      </c>
      <c r="C306" s="2">
        <v>150000</v>
      </c>
      <c r="D306" s="2">
        <v>190000</v>
      </c>
      <c r="E306" s="2">
        <v>210000</v>
      </c>
      <c r="F306" s="2">
        <v>240000</v>
      </c>
      <c r="G306" s="2">
        <v>550000</v>
      </c>
      <c r="H306" s="2">
        <v>700000</v>
      </c>
    </row>
    <row r="307" spans="1:8" x14ac:dyDescent="0.3">
      <c r="A307" s="15" t="s">
        <v>313</v>
      </c>
      <c r="B307" s="3">
        <v>160000</v>
      </c>
      <c r="C307" s="3">
        <v>170000</v>
      </c>
      <c r="D307" s="3">
        <v>240000</v>
      </c>
      <c r="E307" s="3">
        <v>250000</v>
      </c>
      <c r="F307" s="3">
        <v>210000</v>
      </c>
      <c r="G307" s="3">
        <v>750000</v>
      </c>
      <c r="H307" s="3">
        <v>900000</v>
      </c>
    </row>
    <row r="308" spans="1:8" x14ac:dyDescent="0.3">
      <c r="A308" s="15" t="s">
        <v>314</v>
      </c>
      <c r="B308" s="3">
        <v>160000</v>
      </c>
      <c r="C308" s="3">
        <v>170000</v>
      </c>
      <c r="D308" s="3">
        <v>240000</v>
      </c>
      <c r="E308" s="3">
        <v>250000</v>
      </c>
      <c r="F308" s="3">
        <v>300000</v>
      </c>
      <c r="G308" s="3">
        <v>800000</v>
      </c>
      <c r="H308" s="3">
        <v>950000</v>
      </c>
    </row>
    <row r="309" spans="1:8" x14ac:dyDescent="0.3">
      <c r="A309" s="9" t="s">
        <v>315</v>
      </c>
      <c r="B309" s="2">
        <v>140000</v>
      </c>
      <c r="C309" s="2">
        <v>150000</v>
      </c>
      <c r="D309" s="2">
        <v>190000</v>
      </c>
      <c r="E309" s="2">
        <v>210000</v>
      </c>
      <c r="F309" s="2">
        <v>240000</v>
      </c>
      <c r="G309" s="2">
        <v>550000</v>
      </c>
      <c r="H309" s="2">
        <v>700000</v>
      </c>
    </row>
    <row r="310" spans="1:8" x14ac:dyDescent="0.3">
      <c r="A310" s="9" t="s">
        <v>316</v>
      </c>
      <c r="B310" s="2">
        <v>140000</v>
      </c>
      <c r="C310" s="2">
        <v>150000</v>
      </c>
      <c r="D310" s="2">
        <v>190000</v>
      </c>
      <c r="E310" s="2">
        <v>210000</v>
      </c>
      <c r="F310" s="2">
        <v>240000</v>
      </c>
      <c r="G310" s="2">
        <v>550000</v>
      </c>
      <c r="H310" s="2">
        <v>700000</v>
      </c>
    </row>
    <row r="311" spans="1:8" x14ac:dyDescent="0.3">
      <c r="A311" s="9" t="s">
        <v>317</v>
      </c>
      <c r="B311" s="2">
        <v>140000</v>
      </c>
      <c r="C311" s="2">
        <v>150000</v>
      </c>
      <c r="D311" s="2">
        <v>190000</v>
      </c>
      <c r="E311" s="2">
        <v>210000</v>
      </c>
      <c r="F311" s="2">
        <v>240000</v>
      </c>
      <c r="G311" s="2">
        <v>550000</v>
      </c>
      <c r="H311" s="2">
        <v>700000</v>
      </c>
    </row>
    <row r="312" spans="1:8" x14ac:dyDescent="0.3">
      <c r="A312" s="9" t="s">
        <v>318</v>
      </c>
      <c r="B312" s="2">
        <v>140000</v>
      </c>
      <c r="C312" s="2">
        <v>150000</v>
      </c>
      <c r="D312" s="2">
        <v>190000</v>
      </c>
      <c r="E312" s="2">
        <v>210000</v>
      </c>
      <c r="F312" s="2">
        <v>240000</v>
      </c>
      <c r="G312" s="2">
        <v>550000</v>
      </c>
      <c r="H312" s="2">
        <v>700000</v>
      </c>
    </row>
    <row r="313" spans="1:8" x14ac:dyDescent="0.3">
      <c r="A313" s="9" t="s">
        <v>319</v>
      </c>
      <c r="B313" s="2">
        <v>140000</v>
      </c>
      <c r="C313" s="2">
        <v>150000</v>
      </c>
      <c r="D313" s="2">
        <v>190000</v>
      </c>
      <c r="E313" s="2">
        <v>210000</v>
      </c>
      <c r="F313" s="2">
        <v>240000</v>
      </c>
      <c r="G313" s="2">
        <v>550000</v>
      </c>
      <c r="H313" s="2">
        <v>700000</v>
      </c>
    </row>
    <row r="314" spans="1:8" x14ac:dyDescent="0.3">
      <c r="A314" s="15" t="s">
        <v>320</v>
      </c>
      <c r="B314" s="3">
        <v>160000</v>
      </c>
      <c r="C314" s="3">
        <v>170000</v>
      </c>
      <c r="D314" s="3">
        <v>240000</v>
      </c>
      <c r="E314" s="3">
        <v>250000</v>
      </c>
      <c r="F314" s="3">
        <v>300000</v>
      </c>
      <c r="G314" s="3">
        <v>750000</v>
      </c>
      <c r="H314" s="3">
        <v>900000</v>
      </c>
    </row>
    <row r="315" spans="1:8" x14ac:dyDescent="0.3">
      <c r="A315" s="15" t="s">
        <v>321</v>
      </c>
      <c r="B315" s="3">
        <v>160000</v>
      </c>
      <c r="C315" s="3">
        <v>170000</v>
      </c>
      <c r="D315" s="3">
        <v>240000</v>
      </c>
      <c r="E315" s="3">
        <v>250000</v>
      </c>
      <c r="F315" s="3">
        <v>300000</v>
      </c>
      <c r="G315" s="3">
        <v>800000</v>
      </c>
      <c r="H315" s="3">
        <v>950000</v>
      </c>
    </row>
    <row r="316" spans="1:8" x14ac:dyDescent="0.3">
      <c r="A316" s="9" t="s">
        <v>322</v>
      </c>
      <c r="B316" s="2">
        <v>140000</v>
      </c>
      <c r="C316" s="2">
        <v>150000</v>
      </c>
      <c r="D316" s="2">
        <v>190000</v>
      </c>
      <c r="E316" s="2">
        <v>210000</v>
      </c>
      <c r="F316" s="2">
        <v>240000</v>
      </c>
      <c r="G316" s="2">
        <v>550000</v>
      </c>
      <c r="H316" s="2">
        <v>700000</v>
      </c>
    </row>
    <row r="317" spans="1:8" x14ac:dyDescent="0.3">
      <c r="A317" s="9" t="s">
        <v>323</v>
      </c>
      <c r="B317" s="2">
        <v>140000</v>
      </c>
      <c r="C317" s="2">
        <v>150000</v>
      </c>
      <c r="D317" s="2">
        <v>190000</v>
      </c>
      <c r="E317" s="2">
        <v>210000</v>
      </c>
      <c r="F317" s="2">
        <v>240000</v>
      </c>
      <c r="G317" s="2">
        <v>550000</v>
      </c>
      <c r="H317" s="2">
        <v>700000</v>
      </c>
    </row>
    <row r="318" spans="1:8" x14ac:dyDescent="0.3">
      <c r="A318" s="9" t="s">
        <v>324</v>
      </c>
      <c r="B318" s="2">
        <v>140000</v>
      </c>
      <c r="C318" s="2">
        <v>150000</v>
      </c>
      <c r="D318" s="2">
        <v>190000</v>
      </c>
      <c r="E318" s="2">
        <v>210000</v>
      </c>
      <c r="F318" s="2">
        <v>240000</v>
      </c>
      <c r="G318" s="2">
        <v>550000</v>
      </c>
      <c r="H318" s="2">
        <v>700000</v>
      </c>
    </row>
    <row r="319" spans="1:8" x14ac:dyDescent="0.3">
      <c r="A319" s="9" t="s">
        <v>325</v>
      </c>
      <c r="B319" s="2">
        <v>140000</v>
      </c>
      <c r="C319" s="2">
        <v>150000</v>
      </c>
      <c r="D319" s="2">
        <v>190000</v>
      </c>
      <c r="E319" s="2">
        <v>210000</v>
      </c>
      <c r="F319" s="2">
        <v>240000</v>
      </c>
      <c r="G319" s="2">
        <v>550000</v>
      </c>
      <c r="H319" s="2">
        <v>700000</v>
      </c>
    </row>
    <row r="320" spans="1:8" x14ac:dyDescent="0.3">
      <c r="A320" s="9" t="s">
        <v>326</v>
      </c>
      <c r="B320" s="2">
        <v>140000</v>
      </c>
      <c r="C320" s="2">
        <v>150000</v>
      </c>
      <c r="D320" s="2">
        <v>190000</v>
      </c>
      <c r="E320" s="2">
        <v>210000</v>
      </c>
      <c r="F320" s="2">
        <v>240000</v>
      </c>
      <c r="G320" s="2">
        <v>550000</v>
      </c>
      <c r="H320" s="2">
        <v>700000</v>
      </c>
    </row>
    <row r="321" spans="1:8" x14ac:dyDescent="0.3">
      <c r="A321" s="15" t="s">
        <v>327</v>
      </c>
      <c r="B321" s="3">
        <v>160000</v>
      </c>
      <c r="C321" s="3">
        <v>170000</v>
      </c>
      <c r="D321" s="3">
        <v>240000</v>
      </c>
      <c r="E321" s="3">
        <v>250000</v>
      </c>
      <c r="F321" s="3">
        <v>300000</v>
      </c>
      <c r="G321" s="3">
        <v>750000</v>
      </c>
      <c r="H321" s="3">
        <v>900000</v>
      </c>
    </row>
    <row r="322" spans="1:8" x14ac:dyDescent="0.3">
      <c r="A322" s="15" t="s">
        <v>328</v>
      </c>
      <c r="B322" s="3">
        <v>160000</v>
      </c>
      <c r="C322" s="3">
        <v>170000</v>
      </c>
      <c r="D322" s="3">
        <v>240000</v>
      </c>
      <c r="E322" s="3">
        <v>250000</v>
      </c>
      <c r="F322" s="3">
        <v>300000</v>
      </c>
      <c r="G322" s="3">
        <v>800000</v>
      </c>
      <c r="H322" s="3">
        <v>950000</v>
      </c>
    </row>
    <row r="323" spans="1:8" x14ac:dyDescent="0.3">
      <c r="A323" s="9" t="s">
        <v>329</v>
      </c>
      <c r="B323" s="2">
        <v>140000</v>
      </c>
      <c r="C323" s="2">
        <v>150000</v>
      </c>
      <c r="D323" s="2">
        <v>190000</v>
      </c>
      <c r="E323" s="2">
        <v>210000</v>
      </c>
      <c r="F323" s="2">
        <v>240000</v>
      </c>
      <c r="G323" s="2">
        <v>550000</v>
      </c>
      <c r="H323" s="2">
        <v>700000</v>
      </c>
    </row>
    <row r="324" spans="1:8" x14ac:dyDescent="0.3">
      <c r="A324" s="9" t="s">
        <v>330</v>
      </c>
      <c r="B324" s="2">
        <v>140000</v>
      </c>
      <c r="C324" s="2">
        <v>150000</v>
      </c>
      <c r="D324" s="2">
        <v>190000</v>
      </c>
      <c r="E324" s="2">
        <v>210000</v>
      </c>
      <c r="F324" s="2">
        <v>240000</v>
      </c>
      <c r="G324" s="2">
        <v>550000</v>
      </c>
      <c r="H324" s="2">
        <v>700000</v>
      </c>
    </row>
    <row r="325" spans="1:8" x14ac:dyDescent="0.3">
      <c r="A325" s="9" t="s">
        <v>331</v>
      </c>
      <c r="B325" s="2">
        <v>140000</v>
      </c>
      <c r="C325" s="2">
        <v>150000</v>
      </c>
      <c r="D325" s="2">
        <v>190000</v>
      </c>
      <c r="E325" s="2">
        <v>210000</v>
      </c>
      <c r="F325" s="2">
        <v>240000</v>
      </c>
      <c r="G325" s="2">
        <v>550000</v>
      </c>
      <c r="H325" s="2">
        <v>700000</v>
      </c>
    </row>
    <row r="326" spans="1:8" x14ac:dyDescent="0.3">
      <c r="A326" s="9" t="s">
        <v>332</v>
      </c>
      <c r="B326" s="2">
        <v>140000</v>
      </c>
      <c r="C326" s="2">
        <v>150000</v>
      </c>
      <c r="D326" s="2">
        <v>190000</v>
      </c>
      <c r="E326" s="2">
        <v>210000</v>
      </c>
      <c r="F326" s="2">
        <v>240000</v>
      </c>
      <c r="G326" s="2">
        <v>550000</v>
      </c>
      <c r="H326" s="2">
        <v>700000</v>
      </c>
    </row>
    <row r="327" spans="1:8" x14ac:dyDescent="0.3">
      <c r="A327" s="9" t="s">
        <v>333</v>
      </c>
      <c r="B327" s="2">
        <v>140000</v>
      </c>
      <c r="C327" s="2">
        <v>150000</v>
      </c>
      <c r="D327" s="2">
        <v>190000</v>
      </c>
      <c r="E327" s="2">
        <v>210000</v>
      </c>
      <c r="F327" s="2">
        <v>240000</v>
      </c>
      <c r="G327" s="2">
        <v>550000</v>
      </c>
      <c r="H327" s="2">
        <v>700000</v>
      </c>
    </row>
    <row r="328" spans="1:8" x14ac:dyDescent="0.3">
      <c r="A328" s="15" t="s">
        <v>334</v>
      </c>
      <c r="B328" s="4">
        <v>160000</v>
      </c>
      <c r="C328" s="3">
        <v>170000</v>
      </c>
      <c r="D328" s="3">
        <v>240000</v>
      </c>
      <c r="E328" s="4">
        <v>250000</v>
      </c>
      <c r="F328" s="4">
        <v>300000</v>
      </c>
      <c r="G328" s="3">
        <v>750000</v>
      </c>
      <c r="H328" s="3">
        <v>900000</v>
      </c>
    </row>
    <row r="329" spans="1:8" x14ac:dyDescent="0.3">
      <c r="A329" s="15" t="s">
        <v>335</v>
      </c>
      <c r="B329" s="4">
        <v>160000</v>
      </c>
      <c r="C329" s="3">
        <v>170000</v>
      </c>
      <c r="D329" s="3">
        <v>240000</v>
      </c>
      <c r="E329" s="4">
        <v>250000</v>
      </c>
      <c r="F329" s="4">
        <v>300000</v>
      </c>
      <c r="G329" s="3">
        <v>800000</v>
      </c>
      <c r="H329" s="3">
        <v>950000</v>
      </c>
    </row>
    <row r="330" spans="1:8" x14ac:dyDescent="0.3">
      <c r="A330" s="9" t="s">
        <v>336</v>
      </c>
      <c r="B330" s="2">
        <v>180000</v>
      </c>
      <c r="C330" s="2">
        <v>200000</v>
      </c>
      <c r="D330" s="2">
        <v>240000</v>
      </c>
      <c r="E330" s="2">
        <v>250000</v>
      </c>
      <c r="F330" s="2">
        <v>320000</v>
      </c>
      <c r="G330" s="2">
        <v>700000</v>
      </c>
      <c r="H330" s="2">
        <v>900000</v>
      </c>
    </row>
    <row r="331" spans="1:8" x14ac:dyDescent="0.3">
      <c r="A331" s="9" t="s">
        <v>337</v>
      </c>
      <c r="B331" s="2">
        <v>180000</v>
      </c>
      <c r="C331" s="2">
        <v>200000</v>
      </c>
      <c r="D331" s="2">
        <v>240000</v>
      </c>
      <c r="E331" s="2">
        <v>250000</v>
      </c>
      <c r="F331" s="2">
        <v>320000</v>
      </c>
      <c r="G331" s="2">
        <v>700000</v>
      </c>
      <c r="H331" s="2">
        <v>900000</v>
      </c>
    </row>
    <row r="332" spans="1:8" x14ac:dyDescent="0.3">
      <c r="A332" s="9" t="s">
        <v>338</v>
      </c>
      <c r="B332" s="2">
        <v>180000</v>
      </c>
      <c r="C332" s="2">
        <v>200000</v>
      </c>
      <c r="D332" s="2">
        <v>240000</v>
      </c>
      <c r="E332" s="2">
        <v>250000</v>
      </c>
      <c r="F332" s="2">
        <v>320000</v>
      </c>
      <c r="G332" s="2">
        <v>700000</v>
      </c>
      <c r="H332" s="2">
        <v>900000</v>
      </c>
    </row>
    <row r="333" spans="1:8" x14ac:dyDescent="0.3">
      <c r="A333" s="9" t="s">
        <v>339</v>
      </c>
      <c r="B333" s="2">
        <v>180000</v>
      </c>
      <c r="C333" s="2">
        <v>200000</v>
      </c>
      <c r="D333" s="2">
        <v>240000</v>
      </c>
      <c r="E333" s="2">
        <v>250000</v>
      </c>
      <c r="F333" s="2">
        <v>320000</v>
      </c>
      <c r="G333" s="2">
        <v>700000</v>
      </c>
      <c r="H333" s="2">
        <v>900000</v>
      </c>
    </row>
    <row r="334" spans="1:8" x14ac:dyDescent="0.3">
      <c r="A334" s="9" t="s">
        <v>340</v>
      </c>
      <c r="B334" s="2">
        <v>180000</v>
      </c>
      <c r="C334" s="2">
        <v>200000</v>
      </c>
      <c r="D334" s="2">
        <v>240000</v>
      </c>
      <c r="E334" s="2">
        <v>250000</v>
      </c>
      <c r="F334" s="2">
        <v>320000</v>
      </c>
      <c r="G334" s="2">
        <v>700000</v>
      </c>
      <c r="H334" s="2">
        <v>900000</v>
      </c>
    </row>
    <row r="335" spans="1:8" x14ac:dyDescent="0.3">
      <c r="A335" s="15" t="s">
        <v>341</v>
      </c>
      <c r="B335" s="4">
        <v>220000</v>
      </c>
      <c r="C335" s="3">
        <v>240000</v>
      </c>
      <c r="D335" s="3">
        <v>280000</v>
      </c>
      <c r="E335" s="4">
        <v>290000</v>
      </c>
      <c r="F335" s="4">
        <v>400000</v>
      </c>
      <c r="G335" s="3">
        <v>950000</v>
      </c>
      <c r="H335" s="3">
        <v>1100000</v>
      </c>
    </row>
    <row r="336" spans="1:8" x14ac:dyDescent="0.3">
      <c r="A336" s="15" t="s">
        <v>342</v>
      </c>
      <c r="B336" s="4">
        <v>220000</v>
      </c>
      <c r="C336" s="3">
        <v>240000</v>
      </c>
      <c r="D336" s="3">
        <v>280000</v>
      </c>
      <c r="E336" s="4">
        <v>290000</v>
      </c>
      <c r="F336" s="4">
        <v>400000</v>
      </c>
      <c r="G336" s="3">
        <v>950000</v>
      </c>
      <c r="H336" s="3">
        <v>1100000</v>
      </c>
    </row>
    <row r="337" spans="1:16" x14ac:dyDescent="0.3">
      <c r="A337" s="9" t="s">
        <v>343</v>
      </c>
      <c r="B337" s="2">
        <v>180000</v>
      </c>
      <c r="C337" s="2">
        <v>200000</v>
      </c>
      <c r="D337" s="2">
        <v>240000</v>
      </c>
      <c r="E337" s="2">
        <v>250000</v>
      </c>
      <c r="F337" s="2">
        <v>320000</v>
      </c>
      <c r="G337" s="2">
        <v>700000</v>
      </c>
      <c r="H337" s="2">
        <v>900000</v>
      </c>
    </row>
    <row r="338" spans="1:16" x14ac:dyDescent="0.3">
      <c r="A338" s="9" t="s">
        <v>344</v>
      </c>
      <c r="B338" s="2">
        <v>180000</v>
      </c>
      <c r="C338" s="2">
        <v>200000</v>
      </c>
      <c r="D338" s="2">
        <v>240000</v>
      </c>
      <c r="E338" s="2">
        <v>250000</v>
      </c>
      <c r="F338" s="2">
        <v>320000</v>
      </c>
      <c r="G338" s="2">
        <v>700000</v>
      </c>
      <c r="H338" s="2">
        <v>900000</v>
      </c>
    </row>
    <row r="339" spans="1:16" x14ac:dyDescent="0.3">
      <c r="A339" s="9" t="s">
        <v>345</v>
      </c>
      <c r="B339" s="2">
        <v>180000</v>
      </c>
      <c r="C339" s="2">
        <v>200000</v>
      </c>
      <c r="D339" s="2">
        <v>240000</v>
      </c>
      <c r="E339" s="2">
        <v>250000</v>
      </c>
      <c r="F339" s="2">
        <v>320000</v>
      </c>
      <c r="G339" s="2">
        <v>700000</v>
      </c>
      <c r="H339" s="2">
        <v>900000</v>
      </c>
    </row>
    <row r="340" spans="1:16" x14ac:dyDescent="0.3">
      <c r="A340" s="9" t="s">
        <v>346</v>
      </c>
      <c r="B340" s="2">
        <v>180000</v>
      </c>
      <c r="C340" s="2">
        <v>200000</v>
      </c>
      <c r="D340" s="2">
        <v>240000</v>
      </c>
      <c r="E340" s="2">
        <v>250000</v>
      </c>
      <c r="F340" s="2">
        <v>320000</v>
      </c>
      <c r="G340" s="2">
        <v>700000</v>
      </c>
      <c r="H340" s="2">
        <v>900000</v>
      </c>
    </row>
    <row r="341" spans="1:16" x14ac:dyDescent="0.3">
      <c r="A341" s="9" t="s">
        <v>347</v>
      </c>
      <c r="B341" s="2">
        <v>180000</v>
      </c>
      <c r="C341" s="2">
        <v>200000</v>
      </c>
      <c r="D341" s="2">
        <v>240000</v>
      </c>
      <c r="E341" s="2">
        <v>250000</v>
      </c>
      <c r="F341" s="2">
        <v>320000</v>
      </c>
      <c r="G341" s="2">
        <v>700000</v>
      </c>
      <c r="H341" s="2">
        <v>900000</v>
      </c>
    </row>
    <row r="342" spans="1:16" x14ac:dyDescent="0.3">
      <c r="A342" s="15" t="s">
        <v>348</v>
      </c>
      <c r="B342" s="4">
        <v>220000</v>
      </c>
      <c r="C342" s="3">
        <v>240000</v>
      </c>
      <c r="D342" s="3">
        <v>280000</v>
      </c>
      <c r="E342" s="4">
        <v>290000</v>
      </c>
      <c r="F342" s="4">
        <v>400000</v>
      </c>
      <c r="G342" s="3">
        <v>950000</v>
      </c>
      <c r="H342" s="3">
        <v>1100000</v>
      </c>
      <c r="J342" s="7">
        <f>$J$1*B342</f>
        <v>2200000</v>
      </c>
      <c r="K342" s="7">
        <f>$K$1*C342</f>
        <v>720000</v>
      </c>
      <c r="L342" s="7">
        <f>$K$1*D342</f>
        <v>840000</v>
      </c>
      <c r="M342" s="7">
        <f>$M$1*E342</f>
        <v>1450000</v>
      </c>
      <c r="N342" s="7">
        <f>$N$1*F342</f>
        <v>2400000</v>
      </c>
      <c r="O342" s="7">
        <f>G342</f>
        <v>950000</v>
      </c>
      <c r="P342" s="2">
        <f>H342</f>
        <v>1100000</v>
      </c>
    </row>
    <row r="343" spans="1:16" x14ac:dyDescent="0.3">
      <c r="A343" s="15" t="s">
        <v>349</v>
      </c>
      <c r="B343" s="4">
        <v>220000</v>
      </c>
      <c r="C343" s="3">
        <v>240000</v>
      </c>
      <c r="D343" s="3">
        <v>280000</v>
      </c>
      <c r="E343" s="4">
        <v>290000</v>
      </c>
      <c r="F343" s="4">
        <v>400000</v>
      </c>
      <c r="G343" s="3">
        <v>950000</v>
      </c>
      <c r="H343" s="3">
        <v>1100000</v>
      </c>
      <c r="J343" s="7">
        <f t="shared" ref="J343:J358" si="0">$J$1*B343</f>
        <v>2200000</v>
      </c>
      <c r="K343" s="7">
        <f t="shared" ref="K343:K358" si="1">$K$1*C343</f>
        <v>720000</v>
      </c>
      <c r="L343" s="7">
        <f t="shared" ref="L343:L358" si="2">$K$1*D343</f>
        <v>840000</v>
      </c>
      <c r="M343" s="7">
        <f t="shared" ref="M343:M358" si="3">$M$1*E343</f>
        <v>1450000</v>
      </c>
      <c r="N343" s="7">
        <f t="shared" ref="N343:N358" si="4">$N$1*F343</f>
        <v>2400000</v>
      </c>
      <c r="O343" s="7">
        <f t="shared" ref="O343:O358" si="5">G343</f>
        <v>950000</v>
      </c>
      <c r="P343" s="2">
        <f t="shared" ref="P343:P358" si="6">H343</f>
        <v>1100000</v>
      </c>
    </row>
    <row r="344" spans="1:16" x14ac:dyDescent="0.3">
      <c r="A344" s="9" t="s">
        <v>350</v>
      </c>
      <c r="B344" s="2">
        <v>80000</v>
      </c>
      <c r="C344" s="2">
        <v>90000</v>
      </c>
      <c r="D344" s="2">
        <v>95000</v>
      </c>
      <c r="E344" s="2">
        <v>95000</v>
      </c>
      <c r="F344" s="2">
        <v>100000</v>
      </c>
      <c r="G344" s="2">
        <v>300000</v>
      </c>
      <c r="H344" s="2">
        <v>400000</v>
      </c>
      <c r="J344" s="7">
        <f t="shared" si="0"/>
        <v>800000</v>
      </c>
      <c r="K344" s="7">
        <f t="shared" si="1"/>
        <v>270000</v>
      </c>
      <c r="L344" s="7">
        <f t="shared" si="2"/>
        <v>285000</v>
      </c>
      <c r="M344" s="7">
        <f t="shared" si="3"/>
        <v>475000</v>
      </c>
      <c r="N344" s="7">
        <f t="shared" si="4"/>
        <v>600000</v>
      </c>
      <c r="O344" s="7">
        <f t="shared" si="5"/>
        <v>300000</v>
      </c>
      <c r="P344" s="2">
        <f t="shared" si="6"/>
        <v>400000</v>
      </c>
    </row>
    <row r="345" spans="1:16" x14ac:dyDescent="0.3">
      <c r="A345" s="9" t="s">
        <v>351</v>
      </c>
      <c r="B345" s="2">
        <v>80000</v>
      </c>
      <c r="C345" s="2">
        <v>90000</v>
      </c>
      <c r="D345" s="2">
        <v>95000</v>
      </c>
      <c r="E345" s="2">
        <v>95000</v>
      </c>
      <c r="F345" s="2">
        <v>100000</v>
      </c>
      <c r="G345" s="2">
        <v>300000</v>
      </c>
      <c r="H345" s="2">
        <v>400000</v>
      </c>
      <c r="J345" s="7">
        <f t="shared" si="0"/>
        <v>800000</v>
      </c>
      <c r="K345" s="7">
        <f t="shared" si="1"/>
        <v>270000</v>
      </c>
      <c r="L345" s="7">
        <f t="shared" si="2"/>
        <v>285000</v>
      </c>
      <c r="M345" s="7">
        <f t="shared" si="3"/>
        <v>475000</v>
      </c>
      <c r="N345" s="7">
        <f t="shared" si="4"/>
        <v>600000</v>
      </c>
      <c r="O345" s="7">
        <f t="shared" si="5"/>
        <v>300000</v>
      </c>
      <c r="P345" s="2">
        <f t="shared" si="6"/>
        <v>400000</v>
      </c>
    </row>
    <row r="346" spans="1:16" x14ac:dyDescent="0.3">
      <c r="A346" s="9" t="s">
        <v>352</v>
      </c>
      <c r="B346" s="2">
        <v>80000</v>
      </c>
      <c r="C346" s="2">
        <v>90000</v>
      </c>
      <c r="D346" s="2">
        <v>95000</v>
      </c>
      <c r="E346" s="2">
        <v>95000</v>
      </c>
      <c r="F346" s="2">
        <v>100000</v>
      </c>
      <c r="G346" s="2">
        <v>300000</v>
      </c>
      <c r="H346" s="2">
        <v>400000</v>
      </c>
      <c r="J346" s="7">
        <f t="shared" si="0"/>
        <v>800000</v>
      </c>
      <c r="K346" s="7">
        <f t="shared" si="1"/>
        <v>270000</v>
      </c>
      <c r="L346" s="7">
        <f t="shared" si="2"/>
        <v>285000</v>
      </c>
      <c r="M346" s="7">
        <f t="shared" si="3"/>
        <v>475000</v>
      </c>
      <c r="N346" s="7">
        <f t="shared" si="4"/>
        <v>600000</v>
      </c>
      <c r="O346" s="7">
        <f t="shared" si="5"/>
        <v>300000</v>
      </c>
      <c r="P346" s="2">
        <f t="shared" si="6"/>
        <v>400000</v>
      </c>
    </row>
    <row r="347" spans="1:16" x14ac:dyDescent="0.3">
      <c r="A347" s="9" t="s">
        <v>353</v>
      </c>
      <c r="B347" s="2">
        <v>80000</v>
      </c>
      <c r="C347" s="2">
        <v>90000</v>
      </c>
      <c r="D347" s="2">
        <v>95000</v>
      </c>
      <c r="E347" s="2">
        <v>95000</v>
      </c>
      <c r="F347" s="2">
        <v>100000</v>
      </c>
      <c r="G347" s="2">
        <v>300000</v>
      </c>
      <c r="H347" s="2">
        <v>400000</v>
      </c>
      <c r="J347" s="7">
        <f t="shared" si="0"/>
        <v>800000</v>
      </c>
      <c r="K347" s="7">
        <f t="shared" si="1"/>
        <v>270000</v>
      </c>
      <c r="L347" s="7">
        <f t="shared" si="2"/>
        <v>285000</v>
      </c>
      <c r="M347" s="7">
        <f t="shared" si="3"/>
        <v>475000</v>
      </c>
      <c r="N347" s="7">
        <f t="shared" si="4"/>
        <v>600000</v>
      </c>
      <c r="O347" s="7">
        <f t="shared" si="5"/>
        <v>300000</v>
      </c>
      <c r="P347" s="2">
        <f t="shared" si="6"/>
        <v>400000</v>
      </c>
    </row>
    <row r="348" spans="1:16" x14ac:dyDescent="0.3">
      <c r="A348" s="9" t="s">
        <v>354</v>
      </c>
      <c r="B348" s="2">
        <v>80000</v>
      </c>
      <c r="C348" s="2">
        <v>90000</v>
      </c>
      <c r="D348" s="2">
        <v>95000</v>
      </c>
      <c r="E348" s="2">
        <v>95000</v>
      </c>
      <c r="F348" s="2">
        <v>100000</v>
      </c>
      <c r="G348" s="2">
        <v>300000</v>
      </c>
      <c r="H348" s="2">
        <v>400000</v>
      </c>
      <c r="J348" s="7">
        <f t="shared" si="0"/>
        <v>800000</v>
      </c>
      <c r="K348" s="7">
        <f t="shared" si="1"/>
        <v>270000</v>
      </c>
      <c r="L348" s="7">
        <f t="shared" si="2"/>
        <v>285000</v>
      </c>
      <c r="M348" s="7">
        <f t="shared" si="3"/>
        <v>475000</v>
      </c>
      <c r="N348" s="7">
        <f t="shared" si="4"/>
        <v>600000</v>
      </c>
      <c r="O348" s="7">
        <f t="shared" si="5"/>
        <v>300000</v>
      </c>
      <c r="P348" s="2">
        <f t="shared" si="6"/>
        <v>400000</v>
      </c>
    </row>
    <row r="349" spans="1:16" x14ac:dyDescent="0.3">
      <c r="A349" s="17" t="s">
        <v>355</v>
      </c>
      <c r="B349" s="3">
        <v>110000</v>
      </c>
      <c r="C349" s="3">
        <v>130000</v>
      </c>
      <c r="D349" s="3">
        <v>160000</v>
      </c>
      <c r="E349" s="3">
        <v>170000</v>
      </c>
      <c r="F349" s="3">
        <v>190000</v>
      </c>
      <c r="G349" s="3">
        <v>400000</v>
      </c>
      <c r="H349" s="3">
        <v>500000</v>
      </c>
      <c r="J349" s="7">
        <f t="shared" si="0"/>
        <v>1100000</v>
      </c>
      <c r="K349" s="7">
        <f t="shared" si="1"/>
        <v>390000</v>
      </c>
      <c r="L349" s="7">
        <f t="shared" si="2"/>
        <v>480000</v>
      </c>
      <c r="M349" s="7">
        <f t="shared" si="3"/>
        <v>850000</v>
      </c>
      <c r="N349" s="7">
        <f t="shared" si="4"/>
        <v>1140000</v>
      </c>
      <c r="O349" s="7">
        <f t="shared" si="5"/>
        <v>400000</v>
      </c>
      <c r="P349" s="2">
        <f t="shared" si="6"/>
        <v>500000</v>
      </c>
    </row>
    <row r="350" spans="1:16" x14ac:dyDescent="0.3">
      <c r="A350" s="18" t="s">
        <v>356</v>
      </c>
      <c r="B350" s="3">
        <v>110000</v>
      </c>
      <c r="C350" s="3">
        <v>130000</v>
      </c>
      <c r="D350" s="3">
        <v>160000</v>
      </c>
      <c r="E350" s="3">
        <v>170000</v>
      </c>
      <c r="F350" s="3">
        <v>190000</v>
      </c>
      <c r="G350" s="3">
        <v>400000</v>
      </c>
      <c r="H350" s="3">
        <v>500000</v>
      </c>
      <c r="J350" s="7">
        <f t="shared" si="0"/>
        <v>1100000</v>
      </c>
      <c r="K350" s="7">
        <f t="shared" si="1"/>
        <v>390000</v>
      </c>
      <c r="L350" s="7">
        <f t="shared" si="2"/>
        <v>480000</v>
      </c>
      <c r="M350" s="7">
        <f t="shared" si="3"/>
        <v>850000</v>
      </c>
      <c r="N350" s="7">
        <f t="shared" si="4"/>
        <v>1140000</v>
      </c>
      <c r="O350" s="7">
        <f t="shared" si="5"/>
        <v>400000</v>
      </c>
      <c r="P350" s="2">
        <f t="shared" si="6"/>
        <v>500000</v>
      </c>
    </row>
    <row r="351" spans="1:16" x14ac:dyDescent="0.3">
      <c r="A351" s="9" t="s">
        <v>362</v>
      </c>
      <c r="B351" s="2">
        <v>80000</v>
      </c>
      <c r="C351" s="2">
        <v>90000</v>
      </c>
      <c r="D351" s="2">
        <v>95000</v>
      </c>
      <c r="E351" s="2">
        <v>95000</v>
      </c>
      <c r="F351" s="2">
        <v>100000</v>
      </c>
      <c r="G351" s="2">
        <v>300000</v>
      </c>
      <c r="H351" s="2">
        <v>400000</v>
      </c>
      <c r="J351" s="7">
        <f t="shared" si="0"/>
        <v>800000</v>
      </c>
      <c r="K351" s="7">
        <f t="shared" si="1"/>
        <v>270000</v>
      </c>
      <c r="L351" s="7">
        <f t="shared" si="2"/>
        <v>285000</v>
      </c>
      <c r="M351" s="7">
        <f t="shared" si="3"/>
        <v>475000</v>
      </c>
      <c r="N351" s="7">
        <f t="shared" si="4"/>
        <v>600000</v>
      </c>
      <c r="O351" s="7">
        <f t="shared" si="5"/>
        <v>300000</v>
      </c>
      <c r="P351" s="2">
        <f t="shared" si="6"/>
        <v>400000</v>
      </c>
    </row>
    <row r="352" spans="1:16" x14ac:dyDescent="0.3">
      <c r="A352" s="9" t="s">
        <v>363</v>
      </c>
      <c r="B352" s="2">
        <v>80000</v>
      </c>
      <c r="C352" s="2">
        <v>90000</v>
      </c>
      <c r="D352" s="2">
        <v>95000</v>
      </c>
      <c r="E352" s="2">
        <v>95000</v>
      </c>
      <c r="F352" s="2">
        <v>100000</v>
      </c>
      <c r="G352" s="2">
        <v>300000</v>
      </c>
      <c r="H352" s="2">
        <v>400000</v>
      </c>
      <c r="J352" s="7">
        <f t="shared" si="0"/>
        <v>800000</v>
      </c>
      <c r="K352" s="7">
        <f t="shared" si="1"/>
        <v>270000</v>
      </c>
      <c r="L352" s="7">
        <f t="shared" si="2"/>
        <v>285000</v>
      </c>
      <c r="M352" s="7">
        <f t="shared" si="3"/>
        <v>475000</v>
      </c>
      <c r="N352" s="7">
        <f t="shared" si="4"/>
        <v>600000</v>
      </c>
      <c r="O352" s="7">
        <f t="shared" si="5"/>
        <v>300000</v>
      </c>
      <c r="P352" s="2">
        <f t="shared" si="6"/>
        <v>400000</v>
      </c>
    </row>
    <row r="353" spans="1:16" x14ac:dyDescent="0.3">
      <c r="A353" s="9" t="s">
        <v>364</v>
      </c>
      <c r="B353" s="2">
        <v>80000</v>
      </c>
      <c r="C353" s="2">
        <v>90000</v>
      </c>
      <c r="D353" s="2">
        <v>95000</v>
      </c>
      <c r="E353" s="2">
        <v>95000</v>
      </c>
      <c r="F353" s="2">
        <v>100000</v>
      </c>
      <c r="G353" s="2">
        <v>300000</v>
      </c>
      <c r="H353" s="2">
        <v>400000</v>
      </c>
      <c r="J353" s="7">
        <f t="shared" si="0"/>
        <v>800000</v>
      </c>
      <c r="K353" s="7">
        <f t="shared" si="1"/>
        <v>270000</v>
      </c>
      <c r="L353" s="7">
        <f t="shared" si="2"/>
        <v>285000</v>
      </c>
      <c r="M353" s="7">
        <f t="shared" si="3"/>
        <v>475000</v>
      </c>
      <c r="N353" s="7">
        <f t="shared" si="4"/>
        <v>600000</v>
      </c>
      <c r="O353" s="7">
        <f t="shared" si="5"/>
        <v>300000</v>
      </c>
      <c r="P353" s="2">
        <f t="shared" si="6"/>
        <v>400000</v>
      </c>
    </row>
    <row r="354" spans="1:16" x14ac:dyDescent="0.3">
      <c r="A354" s="9" t="s">
        <v>365</v>
      </c>
      <c r="B354" s="2">
        <v>80000</v>
      </c>
      <c r="C354" s="2">
        <v>90000</v>
      </c>
      <c r="D354" s="2">
        <v>95000</v>
      </c>
      <c r="E354" s="2">
        <v>95000</v>
      </c>
      <c r="F354" s="2">
        <v>100000</v>
      </c>
      <c r="G354" s="2">
        <v>300000</v>
      </c>
      <c r="H354" s="2">
        <v>400000</v>
      </c>
      <c r="J354" s="7">
        <f t="shared" si="0"/>
        <v>800000</v>
      </c>
      <c r="K354" s="7">
        <f t="shared" si="1"/>
        <v>270000</v>
      </c>
      <c r="L354" s="7">
        <f t="shared" si="2"/>
        <v>285000</v>
      </c>
      <c r="M354" s="7">
        <f t="shared" si="3"/>
        <v>475000</v>
      </c>
      <c r="N354" s="7">
        <f t="shared" si="4"/>
        <v>600000</v>
      </c>
      <c r="O354" s="7">
        <f t="shared" si="5"/>
        <v>300000</v>
      </c>
      <c r="P354" s="2">
        <f t="shared" si="6"/>
        <v>400000</v>
      </c>
    </row>
    <row r="355" spans="1:16" x14ac:dyDescent="0.3">
      <c r="A355" s="9" t="s">
        <v>366</v>
      </c>
      <c r="B355" s="2">
        <v>80000</v>
      </c>
      <c r="C355" s="2">
        <v>90000</v>
      </c>
      <c r="D355" s="2">
        <v>95000</v>
      </c>
      <c r="E355" s="2">
        <v>95000</v>
      </c>
      <c r="F355" s="2">
        <v>100000</v>
      </c>
      <c r="G355" s="2">
        <v>300000</v>
      </c>
      <c r="H355" s="2">
        <v>400000</v>
      </c>
      <c r="J355" s="7">
        <f t="shared" si="0"/>
        <v>800000</v>
      </c>
      <c r="K355" s="7">
        <f t="shared" si="1"/>
        <v>270000</v>
      </c>
      <c r="L355" s="7">
        <f t="shared" si="2"/>
        <v>285000</v>
      </c>
      <c r="M355" s="7">
        <f t="shared" si="3"/>
        <v>475000</v>
      </c>
      <c r="N355" s="7">
        <f t="shared" si="4"/>
        <v>600000</v>
      </c>
      <c r="O355" s="7">
        <f t="shared" si="5"/>
        <v>300000</v>
      </c>
      <c r="P355" s="2">
        <f t="shared" si="6"/>
        <v>400000</v>
      </c>
    </row>
    <row r="356" spans="1:16" x14ac:dyDescent="0.3">
      <c r="A356" s="17" t="s">
        <v>367</v>
      </c>
      <c r="B356" s="3">
        <v>110000</v>
      </c>
      <c r="C356" s="3">
        <v>130000</v>
      </c>
      <c r="D356" s="3">
        <v>160000</v>
      </c>
      <c r="E356" s="3">
        <v>170000</v>
      </c>
      <c r="F356" s="3">
        <v>190000</v>
      </c>
      <c r="G356" s="3">
        <v>400000</v>
      </c>
      <c r="H356" s="3">
        <v>500000</v>
      </c>
      <c r="J356" s="7">
        <f t="shared" si="0"/>
        <v>1100000</v>
      </c>
      <c r="K356" s="7">
        <f t="shared" si="1"/>
        <v>390000</v>
      </c>
      <c r="L356" s="7">
        <f t="shared" si="2"/>
        <v>480000</v>
      </c>
      <c r="M356" s="7">
        <f t="shared" si="3"/>
        <v>850000</v>
      </c>
      <c r="N356" s="7">
        <f t="shared" si="4"/>
        <v>1140000</v>
      </c>
      <c r="O356" s="7">
        <f t="shared" si="5"/>
        <v>400000</v>
      </c>
      <c r="P356" s="2">
        <f t="shared" si="6"/>
        <v>500000</v>
      </c>
    </row>
    <row r="357" spans="1:16" x14ac:dyDescent="0.3">
      <c r="A357" s="18" t="s">
        <v>368</v>
      </c>
      <c r="B357" s="3">
        <v>110000</v>
      </c>
      <c r="C357" s="3">
        <v>130000</v>
      </c>
      <c r="D357" s="3">
        <v>160000</v>
      </c>
      <c r="E357" s="3">
        <v>170000</v>
      </c>
      <c r="F357" s="3">
        <v>190000</v>
      </c>
      <c r="G357" s="3">
        <v>400000</v>
      </c>
      <c r="H357" s="3">
        <v>500000</v>
      </c>
      <c r="J357" s="7">
        <f t="shared" si="0"/>
        <v>1100000</v>
      </c>
      <c r="K357" s="7">
        <f t="shared" si="1"/>
        <v>390000</v>
      </c>
      <c r="L357" s="7">
        <f t="shared" si="2"/>
        <v>480000</v>
      </c>
      <c r="M357" s="7">
        <f t="shared" si="3"/>
        <v>850000</v>
      </c>
      <c r="N357" s="7">
        <f t="shared" si="4"/>
        <v>1140000</v>
      </c>
      <c r="O357" s="7">
        <f t="shared" si="5"/>
        <v>400000</v>
      </c>
      <c r="P357" s="2">
        <f t="shared" si="6"/>
        <v>500000</v>
      </c>
    </row>
    <row r="358" spans="1:16" x14ac:dyDescent="0.3">
      <c r="A358" s="9" t="s">
        <v>369</v>
      </c>
      <c r="B358" s="2">
        <v>80000</v>
      </c>
      <c r="C358" s="2">
        <v>90000</v>
      </c>
      <c r="D358" s="2">
        <v>95000</v>
      </c>
      <c r="E358" s="2">
        <v>95000</v>
      </c>
      <c r="F358" s="2">
        <v>100000</v>
      </c>
      <c r="G358" s="2">
        <v>300000</v>
      </c>
      <c r="H358" s="2">
        <v>400000</v>
      </c>
      <c r="J358" s="7">
        <f t="shared" si="0"/>
        <v>800000</v>
      </c>
      <c r="K358" s="7">
        <f t="shared" si="1"/>
        <v>270000</v>
      </c>
      <c r="L358" s="7">
        <f t="shared" si="2"/>
        <v>285000</v>
      </c>
      <c r="M358" s="7">
        <f t="shared" si="3"/>
        <v>475000</v>
      </c>
      <c r="N358" s="7">
        <f t="shared" si="4"/>
        <v>600000</v>
      </c>
      <c r="O358" s="7">
        <f t="shared" si="5"/>
        <v>300000</v>
      </c>
      <c r="P358" s="2">
        <f t="shared" si="6"/>
        <v>400000</v>
      </c>
    </row>
    <row r="359" spans="1:16" x14ac:dyDescent="0.3">
      <c r="A359" s="9" t="s">
        <v>370</v>
      </c>
      <c r="B359" s="2">
        <v>80000</v>
      </c>
      <c r="C359" s="2">
        <v>90000</v>
      </c>
      <c r="D359" s="2">
        <v>95000</v>
      </c>
      <c r="E359" s="2">
        <v>95000</v>
      </c>
      <c r="F359" s="2">
        <v>100000</v>
      </c>
      <c r="G359" s="2">
        <v>300000</v>
      </c>
      <c r="H359" s="2">
        <v>400000</v>
      </c>
      <c r="J359" s="7">
        <f t="shared" ref="J359:J377" si="7">$J$1*B359</f>
        <v>800000</v>
      </c>
      <c r="K359" s="7">
        <f t="shared" ref="K359:K377" si="8">$K$1*C359</f>
        <v>270000</v>
      </c>
      <c r="L359" s="7">
        <f t="shared" ref="L359:L377" si="9">$K$1*D359</f>
        <v>285000</v>
      </c>
      <c r="M359" s="7">
        <f t="shared" ref="M359:M377" si="10">$M$1*E359</f>
        <v>475000</v>
      </c>
      <c r="N359" s="7">
        <f t="shared" ref="N359:N377" si="11">$N$1*F359</f>
        <v>600000</v>
      </c>
      <c r="O359" s="7">
        <f t="shared" ref="O359:O377" si="12">G359</f>
        <v>300000</v>
      </c>
      <c r="P359" s="2">
        <f t="shared" ref="P359:P377" si="13">H359</f>
        <v>400000</v>
      </c>
    </row>
    <row r="360" spans="1:16" x14ac:dyDescent="0.3">
      <c r="A360" s="9" t="s">
        <v>371</v>
      </c>
      <c r="B360" s="2">
        <v>80000</v>
      </c>
      <c r="C360" s="2">
        <v>90000</v>
      </c>
      <c r="D360" s="2">
        <v>95000</v>
      </c>
      <c r="E360" s="2">
        <v>95000</v>
      </c>
      <c r="F360" s="2">
        <v>100000</v>
      </c>
      <c r="G360" s="2">
        <v>300000</v>
      </c>
      <c r="H360" s="2">
        <v>400000</v>
      </c>
      <c r="J360" s="7">
        <f t="shared" si="7"/>
        <v>800000</v>
      </c>
      <c r="K360" s="7">
        <f t="shared" si="8"/>
        <v>270000</v>
      </c>
      <c r="L360" s="7">
        <f t="shared" si="9"/>
        <v>285000</v>
      </c>
      <c r="M360" s="7">
        <f t="shared" si="10"/>
        <v>475000</v>
      </c>
      <c r="N360" s="7">
        <f t="shared" si="11"/>
        <v>600000</v>
      </c>
      <c r="O360" s="7">
        <f t="shared" si="12"/>
        <v>300000</v>
      </c>
      <c r="P360" s="2">
        <f t="shared" si="13"/>
        <v>400000</v>
      </c>
    </row>
    <row r="361" spans="1:16" x14ac:dyDescent="0.3">
      <c r="A361" s="9" t="s">
        <v>372</v>
      </c>
      <c r="B361" s="2">
        <v>80000</v>
      </c>
      <c r="C361" s="2">
        <v>90000</v>
      </c>
      <c r="D361" s="2">
        <v>95000</v>
      </c>
      <c r="E361" s="2">
        <v>95000</v>
      </c>
      <c r="F361" s="2">
        <v>100000</v>
      </c>
      <c r="G361" s="2">
        <v>300000</v>
      </c>
      <c r="H361" s="2">
        <v>400000</v>
      </c>
      <c r="J361" s="7">
        <f t="shared" si="7"/>
        <v>800000</v>
      </c>
      <c r="K361" s="7">
        <f t="shared" si="8"/>
        <v>270000</v>
      </c>
      <c r="L361" s="7">
        <f t="shared" si="9"/>
        <v>285000</v>
      </c>
      <c r="M361" s="7">
        <f t="shared" si="10"/>
        <v>475000</v>
      </c>
      <c r="N361" s="7">
        <f t="shared" si="11"/>
        <v>600000</v>
      </c>
      <c r="O361" s="7">
        <f t="shared" si="12"/>
        <v>300000</v>
      </c>
      <c r="P361" s="2">
        <f t="shared" si="13"/>
        <v>400000</v>
      </c>
    </row>
    <row r="362" spans="1:16" x14ac:dyDescent="0.3">
      <c r="A362" s="9" t="s">
        <v>373</v>
      </c>
      <c r="B362" s="2">
        <v>80000</v>
      </c>
      <c r="C362" s="2">
        <v>90000</v>
      </c>
      <c r="D362" s="2">
        <v>95000</v>
      </c>
      <c r="E362" s="2">
        <v>95000</v>
      </c>
      <c r="F362" s="2">
        <v>100000</v>
      </c>
      <c r="G362" s="2">
        <v>300000</v>
      </c>
      <c r="H362" s="2">
        <v>400000</v>
      </c>
      <c r="J362" s="7">
        <f t="shared" si="7"/>
        <v>800000</v>
      </c>
      <c r="K362" s="7">
        <f t="shared" si="8"/>
        <v>270000</v>
      </c>
      <c r="L362" s="7">
        <f t="shared" si="9"/>
        <v>285000</v>
      </c>
      <c r="M362" s="7">
        <f t="shared" si="10"/>
        <v>475000</v>
      </c>
      <c r="N362" s="7">
        <f t="shared" si="11"/>
        <v>600000</v>
      </c>
      <c r="O362" s="7">
        <f t="shared" si="12"/>
        <v>300000</v>
      </c>
      <c r="P362" s="2">
        <f t="shared" si="13"/>
        <v>400000</v>
      </c>
    </row>
    <row r="363" spans="1:16" x14ac:dyDescent="0.3">
      <c r="A363" s="17" t="s">
        <v>374</v>
      </c>
      <c r="B363" s="3">
        <v>110000</v>
      </c>
      <c r="C363" s="3">
        <v>130000</v>
      </c>
      <c r="D363" s="3">
        <v>160000</v>
      </c>
      <c r="E363" s="3">
        <v>170000</v>
      </c>
      <c r="F363" s="3">
        <v>190000</v>
      </c>
      <c r="G363" s="3">
        <v>400000</v>
      </c>
      <c r="H363" s="3">
        <v>500000</v>
      </c>
      <c r="J363" s="7">
        <f t="shared" si="7"/>
        <v>1100000</v>
      </c>
      <c r="K363" s="7">
        <f t="shared" si="8"/>
        <v>390000</v>
      </c>
      <c r="L363" s="7">
        <f t="shared" si="9"/>
        <v>480000</v>
      </c>
      <c r="M363" s="7">
        <f t="shared" si="10"/>
        <v>850000</v>
      </c>
      <c r="N363" s="7">
        <f t="shared" si="11"/>
        <v>1140000</v>
      </c>
      <c r="O363" s="7">
        <f t="shared" si="12"/>
        <v>400000</v>
      </c>
      <c r="P363" s="2">
        <f t="shared" si="13"/>
        <v>500000</v>
      </c>
    </row>
    <row r="364" spans="1:16" x14ac:dyDescent="0.3">
      <c r="A364" s="18" t="s">
        <v>375</v>
      </c>
      <c r="B364" s="3">
        <v>110000</v>
      </c>
      <c r="C364" s="3">
        <v>130000</v>
      </c>
      <c r="D364" s="3">
        <v>160000</v>
      </c>
      <c r="E364" s="3">
        <v>170000</v>
      </c>
      <c r="F364" s="3">
        <v>190000</v>
      </c>
      <c r="G364" s="3">
        <v>400000</v>
      </c>
      <c r="H364" s="3">
        <v>500000</v>
      </c>
      <c r="J364" s="7">
        <f t="shared" si="7"/>
        <v>1100000</v>
      </c>
      <c r="K364" s="7">
        <f t="shared" si="8"/>
        <v>390000</v>
      </c>
      <c r="L364" s="7">
        <f t="shared" si="9"/>
        <v>480000</v>
      </c>
      <c r="M364" s="7">
        <f t="shared" si="10"/>
        <v>850000</v>
      </c>
      <c r="N364" s="7">
        <f t="shared" si="11"/>
        <v>1140000</v>
      </c>
      <c r="O364" s="7">
        <f t="shared" si="12"/>
        <v>400000</v>
      </c>
      <c r="P364" s="2">
        <f t="shared" si="13"/>
        <v>500000</v>
      </c>
    </row>
    <row r="365" spans="1:16" x14ac:dyDescent="0.3">
      <c r="A365" s="9" t="s">
        <v>376</v>
      </c>
      <c r="B365" s="2">
        <v>80000</v>
      </c>
      <c r="C365" s="2">
        <v>90000</v>
      </c>
      <c r="D365" s="2">
        <v>95000</v>
      </c>
      <c r="E365" s="2">
        <v>95000</v>
      </c>
      <c r="F365" s="2">
        <v>100000</v>
      </c>
      <c r="G365" s="2">
        <v>300000</v>
      </c>
      <c r="H365" s="2">
        <v>400000</v>
      </c>
      <c r="J365" s="7">
        <f t="shared" si="7"/>
        <v>800000</v>
      </c>
      <c r="K365" s="7">
        <f t="shared" si="8"/>
        <v>270000</v>
      </c>
      <c r="L365" s="7">
        <f t="shared" si="9"/>
        <v>285000</v>
      </c>
      <c r="M365" s="7">
        <f t="shared" si="10"/>
        <v>475000</v>
      </c>
      <c r="N365" s="7">
        <f t="shared" si="11"/>
        <v>600000</v>
      </c>
      <c r="O365" s="7">
        <f t="shared" si="12"/>
        <v>300000</v>
      </c>
      <c r="P365" s="2">
        <f t="shared" si="13"/>
        <v>400000</v>
      </c>
    </row>
    <row r="366" spans="1:16" x14ac:dyDescent="0.3">
      <c r="A366" s="9" t="s">
        <v>377</v>
      </c>
      <c r="B366" s="2">
        <v>80000</v>
      </c>
      <c r="C366" s="2">
        <v>90000</v>
      </c>
      <c r="D366" s="2">
        <v>95000</v>
      </c>
      <c r="E366" s="2">
        <v>95000</v>
      </c>
      <c r="F366" s="2">
        <v>100000</v>
      </c>
      <c r="G366" s="2">
        <v>300000</v>
      </c>
      <c r="H366" s="2">
        <v>400000</v>
      </c>
      <c r="J366" s="7">
        <f t="shared" si="7"/>
        <v>800000</v>
      </c>
      <c r="K366" s="7">
        <f t="shared" si="8"/>
        <v>270000</v>
      </c>
      <c r="L366" s="7">
        <f t="shared" si="9"/>
        <v>285000</v>
      </c>
      <c r="M366" s="7">
        <f t="shared" si="10"/>
        <v>475000</v>
      </c>
      <c r="N366" s="7">
        <f t="shared" si="11"/>
        <v>600000</v>
      </c>
      <c r="O366" s="7">
        <f t="shared" si="12"/>
        <v>300000</v>
      </c>
      <c r="P366" s="2">
        <f t="shared" si="13"/>
        <v>400000</v>
      </c>
    </row>
    <row r="367" spans="1:16" x14ac:dyDescent="0.3">
      <c r="A367" s="9" t="s">
        <v>378</v>
      </c>
      <c r="B367" s="2">
        <v>80000</v>
      </c>
      <c r="C367" s="2">
        <v>90000</v>
      </c>
      <c r="D367" s="2">
        <v>95000</v>
      </c>
      <c r="E367" s="2">
        <v>95000</v>
      </c>
      <c r="F367" s="2">
        <v>100000</v>
      </c>
      <c r="G367" s="2">
        <v>300000</v>
      </c>
      <c r="H367" s="2">
        <v>400000</v>
      </c>
      <c r="J367" s="7">
        <f t="shared" si="7"/>
        <v>800000</v>
      </c>
      <c r="K367" s="7">
        <f t="shared" si="8"/>
        <v>270000</v>
      </c>
      <c r="L367" s="7">
        <f t="shared" si="9"/>
        <v>285000</v>
      </c>
      <c r="M367" s="7">
        <f t="shared" si="10"/>
        <v>475000</v>
      </c>
      <c r="N367" s="7">
        <f t="shared" si="11"/>
        <v>600000</v>
      </c>
      <c r="O367" s="7">
        <f t="shared" si="12"/>
        <v>300000</v>
      </c>
      <c r="P367" s="2">
        <f t="shared" si="13"/>
        <v>400000</v>
      </c>
    </row>
    <row r="368" spans="1:16" x14ac:dyDescent="0.3">
      <c r="A368" s="9" t="s">
        <v>379</v>
      </c>
      <c r="B368" s="2">
        <v>80000</v>
      </c>
      <c r="C368" s="2">
        <v>90000</v>
      </c>
      <c r="D368" s="2">
        <v>95000</v>
      </c>
      <c r="E368" s="2">
        <v>95000</v>
      </c>
      <c r="F368" s="2">
        <v>100000</v>
      </c>
      <c r="G368" s="2">
        <v>300000</v>
      </c>
      <c r="H368" s="2">
        <v>400000</v>
      </c>
      <c r="J368" s="7">
        <f t="shared" si="7"/>
        <v>800000</v>
      </c>
      <c r="K368" s="7">
        <f t="shared" si="8"/>
        <v>270000</v>
      </c>
      <c r="L368" s="7">
        <f t="shared" si="9"/>
        <v>285000</v>
      </c>
      <c r="M368" s="7">
        <f t="shared" si="10"/>
        <v>475000</v>
      </c>
      <c r="N368" s="7">
        <f t="shared" si="11"/>
        <v>600000</v>
      </c>
      <c r="O368" s="7">
        <f t="shared" si="12"/>
        <v>300000</v>
      </c>
      <c r="P368" s="2">
        <f t="shared" si="13"/>
        <v>400000</v>
      </c>
    </row>
    <row r="369" spans="1:17" x14ac:dyDescent="0.3">
      <c r="A369" s="9" t="s">
        <v>380</v>
      </c>
      <c r="B369" s="2">
        <v>80000</v>
      </c>
      <c r="C369" s="2">
        <v>90000</v>
      </c>
      <c r="D369" s="2">
        <v>95000</v>
      </c>
      <c r="E369" s="2">
        <v>95000</v>
      </c>
      <c r="F369" s="2">
        <v>100000</v>
      </c>
      <c r="G369" s="2">
        <v>300000</v>
      </c>
      <c r="H369" s="2">
        <v>400000</v>
      </c>
      <c r="J369" s="7">
        <f t="shared" si="7"/>
        <v>800000</v>
      </c>
      <c r="K369" s="7">
        <f t="shared" si="8"/>
        <v>270000</v>
      </c>
      <c r="L369" s="7">
        <f t="shared" si="9"/>
        <v>285000</v>
      </c>
      <c r="M369" s="7">
        <f t="shared" si="10"/>
        <v>475000</v>
      </c>
      <c r="N369" s="7">
        <f t="shared" si="11"/>
        <v>600000</v>
      </c>
      <c r="O369" s="7">
        <f t="shared" si="12"/>
        <v>300000</v>
      </c>
      <c r="P369" s="2">
        <f t="shared" si="13"/>
        <v>400000</v>
      </c>
    </row>
    <row r="370" spans="1:17" x14ac:dyDescent="0.3">
      <c r="A370" s="17" t="s">
        <v>381</v>
      </c>
      <c r="B370" s="3">
        <v>110000</v>
      </c>
      <c r="C370" s="3">
        <v>130000</v>
      </c>
      <c r="D370" s="3">
        <v>160000</v>
      </c>
      <c r="E370" s="3">
        <v>170000</v>
      </c>
      <c r="F370" s="3">
        <v>190000</v>
      </c>
      <c r="G370" s="3">
        <v>400000</v>
      </c>
      <c r="H370" s="3">
        <v>500000</v>
      </c>
      <c r="J370" s="7">
        <f t="shared" si="7"/>
        <v>1100000</v>
      </c>
      <c r="K370" s="7">
        <f t="shared" si="8"/>
        <v>390000</v>
      </c>
      <c r="L370" s="7">
        <f t="shared" si="9"/>
        <v>480000</v>
      </c>
      <c r="M370" s="7">
        <f t="shared" si="10"/>
        <v>850000</v>
      </c>
      <c r="N370" s="7">
        <f t="shared" si="11"/>
        <v>1140000</v>
      </c>
      <c r="O370" s="7">
        <f t="shared" si="12"/>
        <v>400000</v>
      </c>
      <c r="P370" s="2">
        <f t="shared" si="13"/>
        <v>500000</v>
      </c>
    </row>
    <row r="371" spans="1:17" x14ac:dyDescent="0.3">
      <c r="A371" s="19" t="s">
        <v>382</v>
      </c>
      <c r="B371" s="3">
        <v>110000</v>
      </c>
      <c r="C371" s="3">
        <v>130000</v>
      </c>
      <c r="D371" s="3">
        <v>160000</v>
      </c>
      <c r="E371" s="3">
        <v>170000</v>
      </c>
      <c r="F371" s="3">
        <v>190000</v>
      </c>
      <c r="G371" s="3">
        <v>400000</v>
      </c>
      <c r="H371" s="3">
        <v>500000</v>
      </c>
      <c r="J371" s="7">
        <f t="shared" si="7"/>
        <v>1100000</v>
      </c>
      <c r="K371" s="7">
        <f t="shared" si="8"/>
        <v>390000</v>
      </c>
      <c r="L371" s="7">
        <f t="shared" si="9"/>
        <v>480000</v>
      </c>
      <c r="M371" s="7">
        <f t="shared" si="10"/>
        <v>850000</v>
      </c>
      <c r="N371" s="7">
        <f t="shared" si="11"/>
        <v>1140000</v>
      </c>
      <c r="O371" s="7">
        <f t="shared" si="12"/>
        <v>400000</v>
      </c>
      <c r="P371" s="2">
        <f t="shared" si="13"/>
        <v>500000</v>
      </c>
    </row>
    <row r="372" spans="1:17" x14ac:dyDescent="0.3">
      <c r="A372" s="22">
        <v>46418</v>
      </c>
      <c r="B372" s="2">
        <v>80000</v>
      </c>
      <c r="C372" s="2">
        <v>90000</v>
      </c>
      <c r="D372" s="2">
        <v>95000</v>
      </c>
      <c r="E372" s="2">
        <v>95000</v>
      </c>
      <c r="F372" s="2">
        <v>100000</v>
      </c>
      <c r="G372" s="2">
        <v>300000</v>
      </c>
      <c r="H372" s="2">
        <v>400000</v>
      </c>
      <c r="J372" s="23">
        <f t="shared" si="7"/>
        <v>800000</v>
      </c>
      <c r="K372" s="23">
        <f t="shared" si="8"/>
        <v>270000</v>
      </c>
      <c r="L372" s="23">
        <f t="shared" si="9"/>
        <v>285000</v>
      </c>
      <c r="M372" s="23">
        <f t="shared" si="10"/>
        <v>475000</v>
      </c>
      <c r="N372" s="23">
        <f t="shared" si="11"/>
        <v>600000</v>
      </c>
      <c r="O372" s="23">
        <f t="shared" si="12"/>
        <v>300000</v>
      </c>
      <c r="P372" s="5">
        <f t="shared" si="13"/>
        <v>400000</v>
      </c>
      <c r="Q372" s="24">
        <f>SUM(J342:P372)</f>
        <v>123930000</v>
      </c>
    </row>
    <row r="373" spans="1:17" x14ac:dyDescent="0.3">
      <c r="A373" s="20">
        <v>46419</v>
      </c>
      <c r="B373" s="2">
        <v>80000</v>
      </c>
      <c r="C373" s="2">
        <v>90000</v>
      </c>
      <c r="D373" s="2">
        <v>95000</v>
      </c>
      <c r="E373" s="2">
        <v>95000</v>
      </c>
      <c r="F373" s="2">
        <v>100000</v>
      </c>
      <c r="G373" s="2">
        <v>300000</v>
      </c>
      <c r="H373" s="2">
        <v>400000</v>
      </c>
      <c r="J373" s="7">
        <f t="shared" si="7"/>
        <v>800000</v>
      </c>
      <c r="K373" s="7">
        <f t="shared" si="8"/>
        <v>270000</v>
      </c>
      <c r="L373" s="7">
        <f t="shared" si="9"/>
        <v>285000</v>
      </c>
      <c r="M373" s="7">
        <f t="shared" si="10"/>
        <v>475000</v>
      </c>
      <c r="N373" s="7">
        <f t="shared" si="11"/>
        <v>600000</v>
      </c>
      <c r="O373" s="7">
        <f t="shared" si="12"/>
        <v>300000</v>
      </c>
      <c r="P373" s="2">
        <f t="shared" si="13"/>
        <v>400000</v>
      </c>
    </row>
    <row r="374" spans="1:17" x14ac:dyDescent="0.3">
      <c r="A374" s="20">
        <v>46420</v>
      </c>
      <c r="B374" s="2">
        <v>80000</v>
      </c>
      <c r="C374" s="2">
        <v>90000</v>
      </c>
      <c r="D374" s="2">
        <v>95000</v>
      </c>
      <c r="E374" s="2">
        <v>95000</v>
      </c>
      <c r="F374" s="2">
        <v>100000</v>
      </c>
      <c r="G374" s="2">
        <v>300000</v>
      </c>
      <c r="H374" s="2">
        <v>400000</v>
      </c>
      <c r="J374" s="7">
        <f t="shared" si="7"/>
        <v>800000</v>
      </c>
      <c r="K374" s="7">
        <f t="shared" si="8"/>
        <v>270000</v>
      </c>
      <c r="L374" s="7">
        <f t="shared" si="9"/>
        <v>285000</v>
      </c>
      <c r="M374" s="7">
        <f t="shared" si="10"/>
        <v>475000</v>
      </c>
      <c r="N374" s="7">
        <f t="shared" si="11"/>
        <v>600000</v>
      </c>
      <c r="O374" s="7">
        <f t="shared" si="12"/>
        <v>300000</v>
      </c>
      <c r="P374" s="2">
        <f t="shared" si="13"/>
        <v>400000</v>
      </c>
    </row>
    <row r="375" spans="1:17" x14ac:dyDescent="0.3">
      <c r="A375" s="20">
        <v>46421</v>
      </c>
      <c r="B375" s="2">
        <v>80000</v>
      </c>
      <c r="C375" s="2">
        <v>90000</v>
      </c>
      <c r="D375" s="2">
        <v>95000</v>
      </c>
      <c r="E375" s="2">
        <v>95000</v>
      </c>
      <c r="F375" s="2">
        <v>100000</v>
      </c>
      <c r="G375" s="2">
        <v>300000</v>
      </c>
      <c r="H375" s="2">
        <v>400000</v>
      </c>
      <c r="J375" s="7">
        <f t="shared" si="7"/>
        <v>800000</v>
      </c>
      <c r="K375" s="7">
        <f t="shared" si="8"/>
        <v>270000</v>
      </c>
      <c r="L375" s="7">
        <f t="shared" si="9"/>
        <v>285000</v>
      </c>
      <c r="M375" s="7">
        <f t="shared" si="10"/>
        <v>475000</v>
      </c>
      <c r="N375" s="7">
        <f t="shared" si="11"/>
        <v>600000</v>
      </c>
      <c r="O375" s="7">
        <f t="shared" si="12"/>
        <v>300000</v>
      </c>
      <c r="P375" s="2">
        <f t="shared" si="13"/>
        <v>400000</v>
      </c>
    </row>
    <row r="376" spans="1:17" x14ac:dyDescent="0.3">
      <c r="A376" s="20">
        <v>46422</v>
      </c>
      <c r="B376" s="2">
        <v>80000</v>
      </c>
      <c r="C376" s="2">
        <v>90000</v>
      </c>
      <c r="D376" s="2">
        <v>95000</v>
      </c>
      <c r="E376" s="2">
        <v>95000</v>
      </c>
      <c r="F376" s="2">
        <v>100000</v>
      </c>
      <c r="G376" s="2">
        <v>300000</v>
      </c>
      <c r="H376" s="2">
        <v>400000</v>
      </c>
      <c r="J376" s="7">
        <f t="shared" si="7"/>
        <v>800000</v>
      </c>
      <c r="K376" s="7">
        <f t="shared" si="8"/>
        <v>270000</v>
      </c>
      <c r="L376" s="7">
        <f t="shared" si="9"/>
        <v>285000</v>
      </c>
      <c r="M376" s="7">
        <f t="shared" si="10"/>
        <v>475000</v>
      </c>
      <c r="N376" s="7">
        <f t="shared" si="11"/>
        <v>600000</v>
      </c>
      <c r="O376" s="7">
        <f t="shared" si="12"/>
        <v>300000</v>
      </c>
      <c r="P376" s="2">
        <f t="shared" si="13"/>
        <v>400000</v>
      </c>
    </row>
    <row r="377" spans="1:17" x14ac:dyDescent="0.3">
      <c r="A377" s="19">
        <v>46423</v>
      </c>
      <c r="B377" s="3">
        <v>110000</v>
      </c>
      <c r="C377" s="3">
        <v>130000</v>
      </c>
      <c r="D377" s="3">
        <v>160000</v>
      </c>
      <c r="E377" s="3">
        <v>170000</v>
      </c>
      <c r="F377" s="3">
        <v>190000</v>
      </c>
      <c r="G377" s="3">
        <v>400000</v>
      </c>
      <c r="H377" s="3">
        <v>500000</v>
      </c>
      <c r="J377" s="7">
        <f t="shared" si="7"/>
        <v>1100000</v>
      </c>
      <c r="K377" s="7">
        <f t="shared" si="8"/>
        <v>390000</v>
      </c>
      <c r="L377" s="7">
        <f t="shared" si="9"/>
        <v>480000</v>
      </c>
      <c r="M377" s="7">
        <f t="shared" si="10"/>
        <v>850000</v>
      </c>
      <c r="N377" s="7">
        <f t="shared" si="11"/>
        <v>1140000</v>
      </c>
      <c r="O377" s="7">
        <f t="shared" si="12"/>
        <v>400000</v>
      </c>
      <c r="P377" s="2">
        <f t="shared" si="13"/>
        <v>500000</v>
      </c>
    </row>
    <row r="378" spans="1:17" x14ac:dyDescent="0.3">
      <c r="A378" s="19">
        <v>46424</v>
      </c>
      <c r="B378" s="3">
        <v>110000</v>
      </c>
      <c r="C378" s="3">
        <v>130000</v>
      </c>
      <c r="D378" s="3">
        <v>160000</v>
      </c>
      <c r="E378" s="3">
        <v>170000</v>
      </c>
      <c r="F378" s="3">
        <v>190000</v>
      </c>
      <c r="G378" s="3">
        <v>400000</v>
      </c>
      <c r="H378" s="3">
        <v>500000</v>
      </c>
      <c r="J378" s="7">
        <f>$J$1*B378</f>
        <v>1100000</v>
      </c>
      <c r="K378" s="7">
        <f>$K$1*C378</f>
        <v>390000</v>
      </c>
      <c r="L378" s="7">
        <f>$K$1*D378</f>
        <v>480000</v>
      </c>
      <c r="M378" s="7">
        <f>$M$1*E378</f>
        <v>850000</v>
      </c>
      <c r="N378" s="7">
        <f>$N$1*F378</f>
        <v>1140000</v>
      </c>
      <c r="O378" s="7">
        <f>G378</f>
        <v>400000</v>
      </c>
      <c r="P378" s="2">
        <f>H378</f>
        <v>500000</v>
      </c>
    </row>
    <row r="379" spans="1:17" x14ac:dyDescent="0.3">
      <c r="A379" s="19">
        <v>46425</v>
      </c>
      <c r="B379" s="3">
        <v>110000</v>
      </c>
      <c r="C379" s="3">
        <v>130000</v>
      </c>
      <c r="D379" s="3">
        <v>160000</v>
      </c>
      <c r="E379" s="3">
        <v>170000</v>
      </c>
      <c r="F379" s="3">
        <v>190000</v>
      </c>
      <c r="G379" s="3">
        <v>400000</v>
      </c>
      <c r="H379" s="3">
        <v>500000</v>
      </c>
      <c r="J379" s="7">
        <f t="shared" ref="J379:J395" si="14">$J$1*B379</f>
        <v>1100000</v>
      </c>
      <c r="K379" s="7">
        <f t="shared" ref="K379:K395" si="15">$K$1*C379</f>
        <v>390000</v>
      </c>
      <c r="L379" s="7">
        <f t="shared" ref="L379:L395" si="16">$K$1*D379</f>
        <v>480000</v>
      </c>
      <c r="M379" s="7">
        <f t="shared" ref="M379:M395" si="17">$M$1*E379</f>
        <v>850000</v>
      </c>
      <c r="N379" s="7">
        <f t="shared" ref="N379:N395" si="18">$N$1*F379</f>
        <v>1140000</v>
      </c>
      <c r="O379" s="7">
        <f t="shared" ref="O379:O395" si="19">G379</f>
        <v>400000</v>
      </c>
      <c r="P379" s="2">
        <f t="shared" ref="P379:P395" si="20">H379</f>
        <v>500000</v>
      </c>
    </row>
    <row r="380" spans="1:17" x14ac:dyDescent="0.3">
      <c r="A380" s="19">
        <v>46426</v>
      </c>
      <c r="B380" s="3">
        <v>110000</v>
      </c>
      <c r="C380" s="3">
        <v>130000</v>
      </c>
      <c r="D380" s="3">
        <v>160000</v>
      </c>
      <c r="E380" s="3">
        <v>170000</v>
      </c>
      <c r="F380" s="3">
        <v>190000</v>
      </c>
      <c r="G380" s="3">
        <v>400000</v>
      </c>
      <c r="H380" s="3">
        <v>500000</v>
      </c>
      <c r="J380" s="7">
        <f t="shared" si="14"/>
        <v>1100000</v>
      </c>
      <c r="K380" s="7">
        <f t="shared" si="15"/>
        <v>390000</v>
      </c>
      <c r="L380" s="7">
        <f t="shared" si="16"/>
        <v>480000</v>
      </c>
      <c r="M380" s="7">
        <f t="shared" si="17"/>
        <v>850000</v>
      </c>
      <c r="N380" s="7">
        <f t="shared" si="18"/>
        <v>1140000</v>
      </c>
      <c r="O380" s="7">
        <f t="shared" si="19"/>
        <v>400000</v>
      </c>
      <c r="P380" s="2">
        <f t="shared" si="20"/>
        <v>500000</v>
      </c>
    </row>
    <row r="381" spans="1:17" x14ac:dyDescent="0.3">
      <c r="A381" s="21">
        <v>46427</v>
      </c>
      <c r="B381" s="2">
        <v>80000</v>
      </c>
      <c r="C381" s="2">
        <v>90000</v>
      </c>
      <c r="D381" s="2">
        <v>95000</v>
      </c>
      <c r="E381" s="2">
        <v>95000</v>
      </c>
      <c r="F381" s="2">
        <v>100000</v>
      </c>
      <c r="G381" s="2">
        <v>300000</v>
      </c>
      <c r="H381" s="2">
        <v>400000</v>
      </c>
      <c r="J381" s="7">
        <f t="shared" si="14"/>
        <v>800000</v>
      </c>
      <c r="K381" s="7">
        <f t="shared" si="15"/>
        <v>270000</v>
      </c>
      <c r="L381" s="7">
        <f t="shared" si="16"/>
        <v>285000</v>
      </c>
      <c r="M381" s="7">
        <f t="shared" si="17"/>
        <v>475000</v>
      </c>
      <c r="N381" s="7">
        <f t="shared" si="18"/>
        <v>600000</v>
      </c>
      <c r="O381" s="7">
        <f t="shared" si="19"/>
        <v>300000</v>
      </c>
      <c r="P381" s="2">
        <f t="shared" si="20"/>
        <v>400000</v>
      </c>
    </row>
    <row r="382" spans="1:17" x14ac:dyDescent="0.3">
      <c r="A382" s="20">
        <v>46428</v>
      </c>
      <c r="B382" s="2">
        <v>80000</v>
      </c>
      <c r="C382" s="2">
        <v>90000</v>
      </c>
      <c r="D382" s="2">
        <v>95000</v>
      </c>
      <c r="E382" s="2">
        <v>95000</v>
      </c>
      <c r="F382" s="2">
        <v>100000</v>
      </c>
      <c r="G382" s="2">
        <v>300000</v>
      </c>
      <c r="H382" s="2">
        <v>400000</v>
      </c>
      <c r="J382" s="7">
        <f t="shared" si="14"/>
        <v>800000</v>
      </c>
      <c r="K382" s="7">
        <f t="shared" si="15"/>
        <v>270000</v>
      </c>
      <c r="L382" s="7">
        <f t="shared" si="16"/>
        <v>285000</v>
      </c>
      <c r="M382" s="7">
        <f t="shared" si="17"/>
        <v>475000</v>
      </c>
      <c r="N382" s="7">
        <f t="shared" si="18"/>
        <v>600000</v>
      </c>
      <c r="O382" s="7">
        <f t="shared" si="19"/>
        <v>300000</v>
      </c>
      <c r="P382" s="2">
        <f t="shared" si="20"/>
        <v>400000</v>
      </c>
    </row>
    <row r="383" spans="1:17" x14ac:dyDescent="0.3">
      <c r="A383" s="20">
        <v>46429</v>
      </c>
      <c r="B383" s="2">
        <v>80000</v>
      </c>
      <c r="C383" s="2">
        <v>90000</v>
      </c>
      <c r="D383" s="2">
        <v>95000</v>
      </c>
      <c r="E383" s="2">
        <v>95000</v>
      </c>
      <c r="F383" s="2">
        <v>100000</v>
      </c>
      <c r="G383" s="2">
        <v>300000</v>
      </c>
      <c r="H383" s="2">
        <v>400000</v>
      </c>
      <c r="J383" s="7">
        <f t="shared" si="14"/>
        <v>800000</v>
      </c>
      <c r="K383" s="7">
        <f t="shared" si="15"/>
        <v>270000</v>
      </c>
      <c r="L383" s="7">
        <f t="shared" si="16"/>
        <v>285000</v>
      </c>
      <c r="M383" s="7">
        <f t="shared" si="17"/>
        <v>475000</v>
      </c>
      <c r="N383" s="7">
        <f t="shared" si="18"/>
        <v>600000</v>
      </c>
      <c r="O383" s="7">
        <f t="shared" si="19"/>
        <v>300000</v>
      </c>
      <c r="P383" s="2">
        <f t="shared" si="20"/>
        <v>400000</v>
      </c>
    </row>
    <row r="384" spans="1:17" x14ac:dyDescent="0.3">
      <c r="A384" s="19">
        <v>46430</v>
      </c>
      <c r="B384" s="3">
        <v>110000</v>
      </c>
      <c r="C384" s="3">
        <v>130000</v>
      </c>
      <c r="D384" s="3">
        <v>160000</v>
      </c>
      <c r="E384" s="3">
        <v>170000</v>
      </c>
      <c r="F384" s="3">
        <v>190000</v>
      </c>
      <c r="G384" s="3">
        <v>400000</v>
      </c>
      <c r="H384" s="3">
        <v>500000</v>
      </c>
      <c r="J384" s="7">
        <f t="shared" si="14"/>
        <v>1100000</v>
      </c>
      <c r="K384" s="7">
        <f t="shared" si="15"/>
        <v>390000</v>
      </c>
      <c r="L384" s="7">
        <f t="shared" si="16"/>
        <v>480000</v>
      </c>
      <c r="M384" s="7">
        <f t="shared" si="17"/>
        <v>850000</v>
      </c>
      <c r="N384" s="7">
        <f t="shared" si="18"/>
        <v>1140000</v>
      </c>
      <c r="O384" s="7">
        <f t="shared" si="19"/>
        <v>400000</v>
      </c>
      <c r="P384" s="2">
        <f t="shared" si="20"/>
        <v>500000</v>
      </c>
    </row>
    <row r="385" spans="1:17" x14ac:dyDescent="0.3">
      <c r="A385" s="19">
        <v>46431</v>
      </c>
      <c r="B385" s="3">
        <v>110000</v>
      </c>
      <c r="C385" s="3">
        <v>130000</v>
      </c>
      <c r="D385" s="3">
        <v>160000</v>
      </c>
      <c r="E385" s="3">
        <v>170000</v>
      </c>
      <c r="F385" s="3">
        <v>190000</v>
      </c>
      <c r="G385" s="3">
        <v>400000</v>
      </c>
      <c r="H385" s="3">
        <v>500000</v>
      </c>
      <c r="J385" s="7">
        <f t="shared" si="14"/>
        <v>1100000</v>
      </c>
      <c r="K385" s="7">
        <f t="shared" si="15"/>
        <v>390000</v>
      </c>
      <c r="L385" s="7">
        <f t="shared" si="16"/>
        <v>480000</v>
      </c>
      <c r="M385" s="7">
        <f t="shared" si="17"/>
        <v>850000</v>
      </c>
      <c r="N385" s="7">
        <f t="shared" si="18"/>
        <v>1140000</v>
      </c>
      <c r="O385" s="7">
        <f t="shared" si="19"/>
        <v>400000</v>
      </c>
      <c r="P385" s="2">
        <f t="shared" si="20"/>
        <v>500000</v>
      </c>
    </row>
    <row r="386" spans="1:17" x14ac:dyDescent="0.3">
      <c r="A386" s="21">
        <v>46432</v>
      </c>
      <c r="B386" s="2">
        <v>80000</v>
      </c>
      <c r="C386" s="2">
        <v>90000</v>
      </c>
      <c r="D386" s="2">
        <v>95000</v>
      </c>
      <c r="E386" s="2">
        <v>95000</v>
      </c>
      <c r="F386" s="2">
        <v>100000</v>
      </c>
      <c r="G386" s="2">
        <v>300000</v>
      </c>
      <c r="H386" s="2">
        <v>400000</v>
      </c>
      <c r="J386" s="7">
        <f t="shared" si="14"/>
        <v>800000</v>
      </c>
      <c r="K386" s="7">
        <f t="shared" si="15"/>
        <v>270000</v>
      </c>
      <c r="L386" s="7">
        <f t="shared" si="16"/>
        <v>285000</v>
      </c>
      <c r="M386" s="7">
        <f t="shared" si="17"/>
        <v>475000</v>
      </c>
      <c r="N386" s="7">
        <f t="shared" si="18"/>
        <v>600000</v>
      </c>
      <c r="O386" s="7">
        <f t="shared" si="19"/>
        <v>300000</v>
      </c>
      <c r="P386" s="2">
        <f t="shared" si="20"/>
        <v>400000</v>
      </c>
    </row>
    <row r="387" spans="1:17" x14ac:dyDescent="0.3">
      <c r="A387" s="20">
        <v>46433</v>
      </c>
      <c r="B387" s="2">
        <v>80000</v>
      </c>
      <c r="C387" s="2">
        <v>90000</v>
      </c>
      <c r="D387" s="2">
        <v>95000</v>
      </c>
      <c r="E387" s="2">
        <v>95000</v>
      </c>
      <c r="F387" s="2">
        <v>100000</v>
      </c>
      <c r="G387" s="2">
        <v>300000</v>
      </c>
      <c r="H387" s="2">
        <v>400000</v>
      </c>
      <c r="J387" s="7">
        <f t="shared" si="14"/>
        <v>800000</v>
      </c>
      <c r="K387" s="7">
        <f t="shared" si="15"/>
        <v>270000</v>
      </c>
      <c r="L387" s="7">
        <f t="shared" si="16"/>
        <v>285000</v>
      </c>
      <c r="M387" s="7">
        <f t="shared" si="17"/>
        <v>475000</v>
      </c>
      <c r="N387" s="7">
        <f t="shared" si="18"/>
        <v>600000</v>
      </c>
      <c r="O387" s="7">
        <f t="shared" si="19"/>
        <v>300000</v>
      </c>
      <c r="P387" s="2">
        <f t="shared" si="20"/>
        <v>400000</v>
      </c>
    </row>
    <row r="388" spans="1:17" x14ac:dyDescent="0.3">
      <c r="A388" s="20">
        <v>46434</v>
      </c>
      <c r="B388" s="2">
        <v>80000</v>
      </c>
      <c r="C388" s="2">
        <v>90000</v>
      </c>
      <c r="D388" s="2">
        <v>95000</v>
      </c>
      <c r="E388" s="2">
        <v>95000</v>
      </c>
      <c r="F388" s="2">
        <v>100000</v>
      </c>
      <c r="G388" s="2">
        <v>300000</v>
      </c>
      <c r="H388" s="2">
        <v>400000</v>
      </c>
      <c r="J388" s="7">
        <f t="shared" si="14"/>
        <v>800000</v>
      </c>
      <c r="K388" s="7">
        <f t="shared" si="15"/>
        <v>270000</v>
      </c>
      <c r="L388" s="7">
        <f t="shared" si="16"/>
        <v>285000</v>
      </c>
      <c r="M388" s="7">
        <f t="shared" si="17"/>
        <v>475000</v>
      </c>
      <c r="N388" s="7">
        <f t="shared" si="18"/>
        <v>600000</v>
      </c>
      <c r="O388" s="7">
        <f t="shared" si="19"/>
        <v>300000</v>
      </c>
      <c r="P388" s="2">
        <f t="shared" si="20"/>
        <v>400000</v>
      </c>
    </row>
    <row r="389" spans="1:17" x14ac:dyDescent="0.3">
      <c r="A389" s="20">
        <v>46435</v>
      </c>
      <c r="B389" s="2">
        <v>80000</v>
      </c>
      <c r="C389" s="2">
        <v>90000</v>
      </c>
      <c r="D389" s="2">
        <v>95000</v>
      </c>
      <c r="E389" s="2">
        <v>95000</v>
      </c>
      <c r="F389" s="2">
        <v>100000</v>
      </c>
      <c r="G389" s="2">
        <v>300000</v>
      </c>
      <c r="H389" s="2">
        <v>400000</v>
      </c>
      <c r="J389" s="7">
        <f t="shared" si="14"/>
        <v>800000</v>
      </c>
      <c r="K389" s="7">
        <f t="shared" si="15"/>
        <v>270000</v>
      </c>
      <c r="L389" s="7">
        <f t="shared" si="16"/>
        <v>285000</v>
      </c>
      <c r="M389" s="7">
        <f t="shared" si="17"/>
        <v>475000</v>
      </c>
      <c r="N389" s="7">
        <f t="shared" si="18"/>
        <v>600000</v>
      </c>
      <c r="O389" s="7">
        <f t="shared" si="19"/>
        <v>300000</v>
      </c>
      <c r="P389" s="2">
        <f t="shared" si="20"/>
        <v>400000</v>
      </c>
    </row>
    <row r="390" spans="1:17" x14ac:dyDescent="0.3">
      <c r="A390" s="20">
        <v>46436</v>
      </c>
      <c r="B390" s="2">
        <v>80000</v>
      </c>
      <c r="C390" s="2">
        <v>90000</v>
      </c>
      <c r="D390" s="2">
        <v>95000</v>
      </c>
      <c r="E390" s="2">
        <v>95000</v>
      </c>
      <c r="F390" s="2">
        <v>100000</v>
      </c>
      <c r="G390" s="2">
        <v>300000</v>
      </c>
      <c r="H390" s="2">
        <v>400000</v>
      </c>
      <c r="J390" s="7">
        <f t="shared" si="14"/>
        <v>800000</v>
      </c>
      <c r="K390" s="7">
        <f t="shared" si="15"/>
        <v>270000</v>
      </c>
      <c r="L390" s="7">
        <f t="shared" si="16"/>
        <v>285000</v>
      </c>
      <c r="M390" s="7">
        <f t="shared" si="17"/>
        <v>475000</v>
      </c>
      <c r="N390" s="7">
        <f t="shared" si="18"/>
        <v>600000</v>
      </c>
      <c r="O390" s="7">
        <f t="shared" si="19"/>
        <v>300000</v>
      </c>
      <c r="P390" s="2">
        <f t="shared" si="20"/>
        <v>400000</v>
      </c>
    </row>
    <row r="391" spans="1:17" x14ac:dyDescent="0.3">
      <c r="A391" s="19">
        <v>46437</v>
      </c>
      <c r="B391" s="3">
        <v>110000</v>
      </c>
      <c r="C391" s="3">
        <v>130000</v>
      </c>
      <c r="D391" s="3">
        <v>160000</v>
      </c>
      <c r="E391" s="3">
        <v>170000</v>
      </c>
      <c r="F391" s="3">
        <v>190000</v>
      </c>
      <c r="G391" s="3">
        <v>400000</v>
      </c>
      <c r="H391" s="3">
        <v>500000</v>
      </c>
      <c r="J391" s="7">
        <f t="shared" si="14"/>
        <v>1100000</v>
      </c>
      <c r="K391" s="7">
        <f t="shared" si="15"/>
        <v>390000</v>
      </c>
      <c r="L391" s="7">
        <f t="shared" si="16"/>
        <v>480000</v>
      </c>
      <c r="M391" s="7">
        <f t="shared" si="17"/>
        <v>850000</v>
      </c>
      <c r="N391" s="7">
        <f t="shared" si="18"/>
        <v>1140000</v>
      </c>
      <c r="O391" s="7">
        <f t="shared" si="19"/>
        <v>400000</v>
      </c>
      <c r="P391" s="2">
        <f t="shared" si="20"/>
        <v>500000</v>
      </c>
    </row>
    <row r="392" spans="1:17" x14ac:dyDescent="0.3">
      <c r="A392" s="19">
        <v>46438</v>
      </c>
      <c r="B392" s="3">
        <v>110000</v>
      </c>
      <c r="C392" s="3">
        <v>130000</v>
      </c>
      <c r="D392" s="3">
        <v>160000</v>
      </c>
      <c r="E392" s="3">
        <v>170000</v>
      </c>
      <c r="F392" s="3">
        <v>190000</v>
      </c>
      <c r="G392" s="3">
        <v>400000</v>
      </c>
      <c r="H392" s="3">
        <v>500000</v>
      </c>
      <c r="J392" s="7">
        <f t="shared" si="14"/>
        <v>1100000</v>
      </c>
      <c r="K392" s="7">
        <f t="shared" si="15"/>
        <v>390000</v>
      </c>
      <c r="L392" s="7">
        <f t="shared" si="16"/>
        <v>480000</v>
      </c>
      <c r="M392" s="7">
        <f t="shared" si="17"/>
        <v>850000</v>
      </c>
      <c r="N392" s="7">
        <f t="shared" si="18"/>
        <v>1140000</v>
      </c>
      <c r="O392" s="7">
        <f t="shared" si="19"/>
        <v>400000</v>
      </c>
      <c r="P392" s="2">
        <f t="shared" si="20"/>
        <v>500000</v>
      </c>
    </row>
    <row r="393" spans="1:17" x14ac:dyDescent="0.3">
      <c r="A393" s="20">
        <v>46439</v>
      </c>
      <c r="B393" s="2">
        <v>80000</v>
      </c>
      <c r="C393" s="2">
        <v>90000</v>
      </c>
      <c r="D393" s="2">
        <v>95000</v>
      </c>
      <c r="E393" s="2">
        <v>95000</v>
      </c>
      <c r="F393" s="2">
        <v>100000</v>
      </c>
      <c r="G393" s="2">
        <v>300000</v>
      </c>
      <c r="H393" s="2">
        <v>400000</v>
      </c>
      <c r="J393" s="7">
        <f t="shared" si="14"/>
        <v>800000</v>
      </c>
      <c r="K393" s="7">
        <f t="shared" si="15"/>
        <v>270000</v>
      </c>
      <c r="L393" s="7">
        <f t="shared" si="16"/>
        <v>285000</v>
      </c>
      <c r="M393" s="7">
        <f t="shared" si="17"/>
        <v>475000</v>
      </c>
      <c r="N393" s="7">
        <f t="shared" si="18"/>
        <v>600000</v>
      </c>
      <c r="O393" s="7">
        <f t="shared" si="19"/>
        <v>300000</v>
      </c>
      <c r="P393" s="2">
        <f t="shared" si="20"/>
        <v>400000</v>
      </c>
    </row>
    <row r="394" spans="1:17" x14ac:dyDescent="0.3">
      <c r="A394" s="20">
        <v>46440</v>
      </c>
      <c r="B394" s="2">
        <v>80000</v>
      </c>
      <c r="C394" s="2">
        <v>90000</v>
      </c>
      <c r="D394" s="2">
        <v>95000</v>
      </c>
      <c r="E394" s="2">
        <v>95000</v>
      </c>
      <c r="F394" s="2">
        <v>100000</v>
      </c>
      <c r="G394" s="2">
        <v>300000</v>
      </c>
      <c r="H394" s="2">
        <v>400000</v>
      </c>
      <c r="J394" s="7">
        <f t="shared" si="14"/>
        <v>800000</v>
      </c>
      <c r="K394" s="7">
        <f t="shared" si="15"/>
        <v>270000</v>
      </c>
      <c r="L394" s="7">
        <f t="shared" si="16"/>
        <v>285000</v>
      </c>
      <c r="M394" s="7">
        <f t="shared" si="17"/>
        <v>475000</v>
      </c>
      <c r="N394" s="7">
        <f t="shared" si="18"/>
        <v>600000</v>
      </c>
      <c r="O394" s="7">
        <f t="shared" si="19"/>
        <v>300000</v>
      </c>
      <c r="P394" s="2">
        <f t="shared" si="20"/>
        <v>400000</v>
      </c>
    </row>
    <row r="395" spans="1:17" x14ac:dyDescent="0.3">
      <c r="A395" s="20">
        <v>46441</v>
      </c>
      <c r="B395" s="2">
        <v>80000</v>
      </c>
      <c r="C395" s="2">
        <v>90000</v>
      </c>
      <c r="D395" s="2">
        <v>95000</v>
      </c>
      <c r="E395" s="2">
        <v>95000</v>
      </c>
      <c r="F395" s="2">
        <v>100000</v>
      </c>
      <c r="G395" s="2">
        <v>300000</v>
      </c>
      <c r="H395" s="2">
        <v>400000</v>
      </c>
      <c r="J395" s="7">
        <f t="shared" si="14"/>
        <v>800000</v>
      </c>
      <c r="K395" s="7">
        <f t="shared" si="15"/>
        <v>270000</v>
      </c>
      <c r="L395" s="7">
        <f t="shared" si="16"/>
        <v>285000</v>
      </c>
      <c r="M395" s="7">
        <f t="shared" si="17"/>
        <v>475000</v>
      </c>
      <c r="N395" s="7">
        <f t="shared" si="18"/>
        <v>600000</v>
      </c>
      <c r="O395" s="7">
        <f t="shared" si="19"/>
        <v>300000</v>
      </c>
      <c r="P395" s="2">
        <f t="shared" si="20"/>
        <v>400000</v>
      </c>
    </row>
    <row r="396" spans="1:17" x14ac:dyDescent="0.3">
      <c r="A396" s="20">
        <v>46442</v>
      </c>
      <c r="B396" s="2">
        <v>80000</v>
      </c>
      <c r="C396" s="2">
        <v>90000</v>
      </c>
      <c r="D396" s="2">
        <v>95000</v>
      </c>
      <c r="E396" s="2">
        <v>95000</v>
      </c>
      <c r="F396" s="2">
        <v>100000</v>
      </c>
      <c r="G396" s="2">
        <v>300000</v>
      </c>
      <c r="H396" s="2">
        <v>400000</v>
      </c>
      <c r="J396" s="7">
        <f>$J$1*B396</f>
        <v>800000</v>
      </c>
      <c r="K396" s="7">
        <f>$K$1*C396</f>
        <v>270000</v>
      </c>
      <c r="L396" s="7">
        <f>$K$1*D396</f>
        <v>285000</v>
      </c>
      <c r="M396" s="7">
        <f>$M$1*E396</f>
        <v>475000</v>
      </c>
      <c r="N396" s="7">
        <f>$N$1*F396</f>
        <v>600000</v>
      </c>
      <c r="O396" s="7">
        <f>G396</f>
        <v>300000</v>
      </c>
      <c r="P396" s="2">
        <f>H396</f>
        <v>400000</v>
      </c>
    </row>
    <row r="397" spans="1:17" x14ac:dyDescent="0.3">
      <c r="A397" s="20">
        <v>46443</v>
      </c>
      <c r="B397" s="2">
        <v>80000</v>
      </c>
      <c r="C397" s="2">
        <v>90000</v>
      </c>
      <c r="D397" s="2">
        <v>95000</v>
      </c>
      <c r="E397" s="2">
        <v>95000</v>
      </c>
      <c r="F397" s="2">
        <v>100000</v>
      </c>
      <c r="G397" s="2">
        <v>300000</v>
      </c>
      <c r="H397" s="2">
        <v>400000</v>
      </c>
      <c r="J397" s="7">
        <f t="shared" ref="J397:J400" si="21">$J$1*B397</f>
        <v>800000</v>
      </c>
      <c r="K397" s="7">
        <f t="shared" ref="K397:K400" si="22">$K$1*C397</f>
        <v>270000</v>
      </c>
      <c r="L397" s="7">
        <f t="shared" ref="L397:L400" si="23">$K$1*D397</f>
        <v>285000</v>
      </c>
      <c r="M397" s="7">
        <f t="shared" ref="M397:M400" si="24">$M$1*E397</f>
        <v>475000</v>
      </c>
      <c r="N397" s="7">
        <f t="shared" ref="N397:N400" si="25">$N$1*F397</f>
        <v>600000</v>
      </c>
      <c r="O397" s="7">
        <f t="shared" ref="O397:O400" si="26">G397</f>
        <v>300000</v>
      </c>
      <c r="P397" s="2">
        <f t="shared" ref="P397:P400" si="27">H397</f>
        <v>400000</v>
      </c>
    </row>
    <row r="398" spans="1:17" x14ac:dyDescent="0.3">
      <c r="A398" s="19">
        <v>46444</v>
      </c>
      <c r="B398" s="3">
        <v>110000</v>
      </c>
      <c r="C398" s="3">
        <v>130000</v>
      </c>
      <c r="D398" s="3">
        <v>160000</v>
      </c>
      <c r="E398" s="3">
        <v>170000</v>
      </c>
      <c r="F398" s="3">
        <v>190000</v>
      </c>
      <c r="G398" s="3">
        <v>400000</v>
      </c>
      <c r="H398" s="3">
        <v>500000</v>
      </c>
      <c r="J398" s="7">
        <f t="shared" si="21"/>
        <v>1100000</v>
      </c>
      <c r="K398" s="7">
        <f t="shared" si="22"/>
        <v>390000</v>
      </c>
      <c r="L398" s="7">
        <f t="shared" si="23"/>
        <v>480000</v>
      </c>
      <c r="M398" s="7">
        <f t="shared" si="24"/>
        <v>850000</v>
      </c>
      <c r="N398" s="7">
        <f t="shared" si="25"/>
        <v>1140000</v>
      </c>
      <c r="O398" s="7">
        <f t="shared" si="26"/>
        <v>400000</v>
      </c>
      <c r="P398" s="2">
        <f t="shared" si="27"/>
        <v>500000</v>
      </c>
    </row>
    <row r="399" spans="1:17" x14ac:dyDescent="0.3">
      <c r="A399" s="19">
        <v>46445</v>
      </c>
      <c r="B399" s="3">
        <v>110000</v>
      </c>
      <c r="C399" s="3">
        <v>130000</v>
      </c>
      <c r="D399" s="3">
        <v>160000</v>
      </c>
      <c r="E399" s="3">
        <v>170000</v>
      </c>
      <c r="F399" s="3">
        <v>190000</v>
      </c>
      <c r="G399" s="3">
        <v>400000</v>
      </c>
      <c r="H399" s="3">
        <v>500000</v>
      </c>
      <c r="J399" s="7">
        <f t="shared" si="21"/>
        <v>1100000</v>
      </c>
      <c r="K399" s="7">
        <f t="shared" si="22"/>
        <v>390000</v>
      </c>
      <c r="L399" s="7">
        <f t="shared" si="23"/>
        <v>480000</v>
      </c>
      <c r="M399" s="7">
        <f t="shared" si="24"/>
        <v>850000</v>
      </c>
      <c r="N399" s="7">
        <f t="shared" si="25"/>
        <v>1140000</v>
      </c>
      <c r="O399" s="7">
        <f t="shared" si="26"/>
        <v>400000</v>
      </c>
      <c r="P399" s="2">
        <f t="shared" si="27"/>
        <v>500000</v>
      </c>
    </row>
    <row r="400" spans="1:17" x14ac:dyDescent="0.3">
      <c r="A400" s="19">
        <v>46446</v>
      </c>
      <c r="B400" s="3">
        <v>110000</v>
      </c>
      <c r="C400" s="3">
        <v>130000</v>
      </c>
      <c r="D400" s="3">
        <v>160000</v>
      </c>
      <c r="E400" s="3">
        <v>170000</v>
      </c>
      <c r="F400" s="3">
        <v>190000</v>
      </c>
      <c r="G400" s="3">
        <v>400000</v>
      </c>
      <c r="H400" s="3">
        <v>500000</v>
      </c>
      <c r="J400" s="7">
        <f t="shared" si="21"/>
        <v>1100000</v>
      </c>
      <c r="K400" s="7">
        <f t="shared" si="22"/>
        <v>390000</v>
      </c>
      <c r="L400" s="7">
        <f t="shared" si="23"/>
        <v>480000</v>
      </c>
      <c r="M400" s="7">
        <f t="shared" si="24"/>
        <v>850000</v>
      </c>
      <c r="N400" s="7">
        <f t="shared" si="25"/>
        <v>1140000</v>
      </c>
      <c r="O400" s="7">
        <f t="shared" si="26"/>
        <v>400000</v>
      </c>
      <c r="P400" s="2">
        <f t="shared" si="27"/>
        <v>500000</v>
      </c>
      <c r="Q400" s="24">
        <f>SUM(J373:P400)</f>
        <v>106670000</v>
      </c>
    </row>
    <row r="401" spans="1:16" x14ac:dyDescent="0.3">
      <c r="A401" s="20">
        <v>46447</v>
      </c>
      <c r="J401" s="7">
        <f t="shared" ref="J401:J464" si="28">$J$1*B401</f>
        <v>0</v>
      </c>
      <c r="K401" s="7">
        <f t="shared" ref="K401:K464" si="29">$K$1*C401</f>
        <v>0</v>
      </c>
      <c r="L401" s="7">
        <f t="shared" ref="L401:L464" si="30">$K$1*D401</f>
        <v>0</v>
      </c>
      <c r="M401" s="7">
        <f t="shared" ref="M401:M464" si="31">$M$1*E401</f>
        <v>0</v>
      </c>
      <c r="N401" s="7">
        <f t="shared" ref="N401:N464" si="32">$N$1*F401</f>
        <v>0</v>
      </c>
      <c r="O401" s="7">
        <f t="shared" ref="O401:O464" si="33">G401</f>
        <v>0</v>
      </c>
      <c r="P401" s="2">
        <f t="shared" ref="P401:P464" si="34">H401</f>
        <v>0</v>
      </c>
    </row>
    <row r="402" spans="1:16" x14ac:dyDescent="0.3">
      <c r="A402" s="20">
        <v>46448</v>
      </c>
      <c r="J402" s="7">
        <f t="shared" si="28"/>
        <v>0</v>
      </c>
      <c r="K402" s="7">
        <f t="shared" si="29"/>
        <v>0</v>
      </c>
      <c r="L402" s="7">
        <f t="shared" si="30"/>
        <v>0</v>
      </c>
      <c r="M402" s="7">
        <f t="shared" si="31"/>
        <v>0</v>
      </c>
      <c r="N402" s="7">
        <f t="shared" si="32"/>
        <v>0</v>
      </c>
      <c r="O402" s="7">
        <f t="shared" si="33"/>
        <v>0</v>
      </c>
      <c r="P402" s="2">
        <f t="shared" si="34"/>
        <v>0</v>
      </c>
    </row>
    <row r="403" spans="1:16" x14ac:dyDescent="0.3">
      <c r="A403" s="20">
        <v>46449</v>
      </c>
      <c r="J403" s="7">
        <f t="shared" si="28"/>
        <v>0</v>
      </c>
      <c r="K403" s="7">
        <f t="shared" si="29"/>
        <v>0</v>
      </c>
      <c r="L403" s="7">
        <f t="shared" si="30"/>
        <v>0</v>
      </c>
      <c r="M403" s="7">
        <f t="shared" si="31"/>
        <v>0</v>
      </c>
      <c r="N403" s="7">
        <f t="shared" si="32"/>
        <v>0</v>
      </c>
      <c r="O403" s="7">
        <f t="shared" si="33"/>
        <v>0</v>
      </c>
      <c r="P403" s="2">
        <f t="shared" si="34"/>
        <v>0</v>
      </c>
    </row>
    <row r="404" spans="1:16" x14ac:dyDescent="0.3">
      <c r="A404" s="20">
        <v>46450</v>
      </c>
      <c r="J404" s="7">
        <f t="shared" si="28"/>
        <v>0</v>
      </c>
      <c r="K404" s="7">
        <f t="shared" si="29"/>
        <v>0</v>
      </c>
      <c r="L404" s="7">
        <f t="shared" si="30"/>
        <v>0</v>
      </c>
      <c r="M404" s="7">
        <f t="shared" si="31"/>
        <v>0</v>
      </c>
      <c r="N404" s="7">
        <f t="shared" si="32"/>
        <v>0</v>
      </c>
      <c r="O404" s="7">
        <f t="shared" si="33"/>
        <v>0</v>
      </c>
      <c r="P404" s="2">
        <f t="shared" si="34"/>
        <v>0</v>
      </c>
    </row>
    <row r="405" spans="1:16" x14ac:dyDescent="0.3">
      <c r="A405" s="19">
        <v>46451</v>
      </c>
      <c r="J405" s="7">
        <f t="shared" si="28"/>
        <v>0</v>
      </c>
      <c r="K405" s="7">
        <f t="shared" si="29"/>
        <v>0</v>
      </c>
      <c r="L405" s="7">
        <f t="shared" si="30"/>
        <v>0</v>
      </c>
      <c r="M405" s="7">
        <f t="shared" si="31"/>
        <v>0</v>
      </c>
      <c r="N405" s="7">
        <f t="shared" si="32"/>
        <v>0</v>
      </c>
      <c r="O405" s="7">
        <f t="shared" si="33"/>
        <v>0</v>
      </c>
      <c r="P405" s="2">
        <f t="shared" si="34"/>
        <v>0</v>
      </c>
    </row>
    <row r="406" spans="1:16" x14ac:dyDescent="0.3">
      <c r="A406" s="19">
        <v>46452</v>
      </c>
      <c r="J406" s="7">
        <f t="shared" si="28"/>
        <v>0</v>
      </c>
      <c r="K406" s="7">
        <f t="shared" si="29"/>
        <v>0</v>
      </c>
      <c r="L406" s="7">
        <f t="shared" si="30"/>
        <v>0</v>
      </c>
      <c r="M406" s="7">
        <f t="shared" si="31"/>
        <v>0</v>
      </c>
      <c r="N406" s="7">
        <f t="shared" si="32"/>
        <v>0</v>
      </c>
      <c r="O406" s="7">
        <f t="shared" si="33"/>
        <v>0</v>
      </c>
      <c r="P406" s="2">
        <f t="shared" si="34"/>
        <v>0</v>
      </c>
    </row>
    <row r="407" spans="1:16" x14ac:dyDescent="0.3">
      <c r="A407" s="21">
        <v>46453</v>
      </c>
      <c r="J407" s="7">
        <f t="shared" si="28"/>
        <v>0</v>
      </c>
      <c r="K407" s="7">
        <f t="shared" si="29"/>
        <v>0</v>
      </c>
      <c r="L407" s="7">
        <f t="shared" si="30"/>
        <v>0</v>
      </c>
      <c r="M407" s="7">
        <f t="shared" si="31"/>
        <v>0</v>
      </c>
      <c r="N407" s="7">
        <f t="shared" si="32"/>
        <v>0</v>
      </c>
      <c r="O407" s="7">
        <f t="shared" si="33"/>
        <v>0</v>
      </c>
      <c r="P407" s="2">
        <f t="shared" si="34"/>
        <v>0</v>
      </c>
    </row>
    <row r="408" spans="1:16" x14ac:dyDescent="0.3">
      <c r="A408" s="20">
        <v>46454</v>
      </c>
      <c r="J408" s="7">
        <f t="shared" si="28"/>
        <v>0</v>
      </c>
      <c r="K408" s="7">
        <f t="shared" si="29"/>
        <v>0</v>
      </c>
      <c r="L408" s="7">
        <f t="shared" si="30"/>
        <v>0</v>
      </c>
      <c r="M408" s="7">
        <f t="shared" si="31"/>
        <v>0</v>
      </c>
      <c r="N408" s="7">
        <f t="shared" si="32"/>
        <v>0</v>
      </c>
      <c r="O408" s="7">
        <f t="shared" si="33"/>
        <v>0</v>
      </c>
      <c r="P408" s="2">
        <f t="shared" si="34"/>
        <v>0</v>
      </c>
    </row>
    <row r="409" spans="1:16" x14ac:dyDescent="0.3">
      <c r="A409" s="20">
        <v>46455</v>
      </c>
      <c r="J409" s="7">
        <f t="shared" si="28"/>
        <v>0</v>
      </c>
      <c r="K409" s="7">
        <f t="shared" si="29"/>
        <v>0</v>
      </c>
      <c r="L409" s="7">
        <f t="shared" si="30"/>
        <v>0</v>
      </c>
      <c r="M409" s="7">
        <f t="shared" si="31"/>
        <v>0</v>
      </c>
      <c r="N409" s="7">
        <f t="shared" si="32"/>
        <v>0</v>
      </c>
      <c r="O409" s="7">
        <f t="shared" si="33"/>
        <v>0</v>
      </c>
      <c r="P409" s="2">
        <f t="shared" si="34"/>
        <v>0</v>
      </c>
    </row>
    <row r="410" spans="1:16" x14ac:dyDescent="0.3">
      <c r="A410" s="20">
        <v>46456</v>
      </c>
      <c r="J410" s="7">
        <f t="shared" si="28"/>
        <v>0</v>
      </c>
      <c r="K410" s="7">
        <f t="shared" si="29"/>
        <v>0</v>
      </c>
      <c r="L410" s="7">
        <f t="shared" si="30"/>
        <v>0</v>
      </c>
      <c r="M410" s="7">
        <f t="shared" si="31"/>
        <v>0</v>
      </c>
      <c r="N410" s="7">
        <f t="shared" si="32"/>
        <v>0</v>
      </c>
      <c r="O410" s="7">
        <f t="shared" si="33"/>
        <v>0</v>
      </c>
      <c r="P410" s="2">
        <f t="shared" si="34"/>
        <v>0</v>
      </c>
    </row>
    <row r="411" spans="1:16" x14ac:dyDescent="0.3">
      <c r="A411" s="20">
        <v>46457</v>
      </c>
      <c r="J411" s="7">
        <f t="shared" si="28"/>
        <v>0</v>
      </c>
      <c r="K411" s="7">
        <f t="shared" si="29"/>
        <v>0</v>
      </c>
      <c r="L411" s="7">
        <f t="shared" si="30"/>
        <v>0</v>
      </c>
      <c r="M411" s="7">
        <f t="shared" si="31"/>
        <v>0</v>
      </c>
      <c r="N411" s="7">
        <f t="shared" si="32"/>
        <v>0</v>
      </c>
      <c r="O411" s="7">
        <f t="shared" si="33"/>
        <v>0</v>
      </c>
      <c r="P411" s="2">
        <f t="shared" si="34"/>
        <v>0</v>
      </c>
    </row>
    <row r="412" spans="1:16" x14ac:dyDescent="0.3">
      <c r="A412" s="19">
        <v>46458</v>
      </c>
      <c r="J412" s="7">
        <f t="shared" si="28"/>
        <v>0</v>
      </c>
      <c r="K412" s="7">
        <f t="shared" si="29"/>
        <v>0</v>
      </c>
      <c r="L412" s="7">
        <f t="shared" si="30"/>
        <v>0</v>
      </c>
      <c r="M412" s="7">
        <f t="shared" si="31"/>
        <v>0</v>
      </c>
      <c r="N412" s="7">
        <f t="shared" si="32"/>
        <v>0</v>
      </c>
      <c r="O412" s="7">
        <f t="shared" si="33"/>
        <v>0</v>
      </c>
      <c r="P412" s="2">
        <f t="shared" si="34"/>
        <v>0</v>
      </c>
    </row>
    <row r="413" spans="1:16" x14ac:dyDescent="0.3">
      <c r="A413" s="19">
        <v>46459</v>
      </c>
      <c r="J413" s="7">
        <f t="shared" si="28"/>
        <v>0</v>
      </c>
      <c r="K413" s="7">
        <f t="shared" si="29"/>
        <v>0</v>
      </c>
      <c r="L413" s="7">
        <f t="shared" si="30"/>
        <v>0</v>
      </c>
      <c r="M413" s="7">
        <f t="shared" si="31"/>
        <v>0</v>
      </c>
      <c r="N413" s="7">
        <f t="shared" si="32"/>
        <v>0</v>
      </c>
      <c r="O413" s="7">
        <f t="shared" si="33"/>
        <v>0</v>
      </c>
      <c r="P413" s="2">
        <f t="shared" si="34"/>
        <v>0</v>
      </c>
    </row>
    <row r="414" spans="1:16" x14ac:dyDescent="0.3">
      <c r="A414" s="21">
        <v>46460</v>
      </c>
      <c r="J414" s="7">
        <f t="shared" si="28"/>
        <v>0</v>
      </c>
      <c r="K414" s="7">
        <f t="shared" si="29"/>
        <v>0</v>
      </c>
      <c r="L414" s="7">
        <f t="shared" si="30"/>
        <v>0</v>
      </c>
      <c r="M414" s="7">
        <f t="shared" si="31"/>
        <v>0</v>
      </c>
      <c r="N414" s="7">
        <f t="shared" si="32"/>
        <v>0</v>
      </c>
      <c r="O414" s="7">
        <f t="shared" si="33"/>
        <v>0</v>
      </c>
      <c r="P414" s="2">
        <f t="shared" si="34"/>
        <v>0</v>
      </c>
    </row>
    <row r="415" spans="1:16" x14ac:dyDescent="0.3">
      <c r="A415" s="20">
        <v>46461</v>
      </c>
      <c r="J415" s="7">
        <f t="shared" si="28"/>
        <v>0</v>
      </c>
      <c r="K415" s="7">
        <f t="shared" si="29"/>
        <v>0</v>
      </c>
      <c r="L415" s="7">
        <f t="shared" si="30"/>
        <v>0</v>
      </c>
      <c r="M415" s="7">
        <f t="shared" si="31"/>
        <v>0</v>
      </c>
      <c r="N415" s="7">
        <f t="shared" si="32"/>
        <v>0</v>
      </c>
      <c r="O415" s="7">
        <f t="shared" si="33"/>
        <v>0</v>
      </c>
      <c r="P415" s="2">
        <f t="shared" si="34"/>
        <v>0</v>
      </c>
    </row>
    <row r="416" spans="1:16" x14ac:dyDescent="0.3">
      <c r="A416" s="20">
        <v>46462</v>
      </c>
      <c r="J416" s="7">
        <f t="shared" si="28"/>
        <v>0</v>
      </c>
      <c r="K416" s="7">
        <f t="shared" si="29"/>
        <v>0</v>
      </c>
      <c r="L416" s="7">
        <f t="shared" si="30"/>
        <v>0</v>
      </c>
      <c r="M416" s="7">
        <f t="shared" si="31"/>
        <v>0</v>
      </c>
      <c r="N416" s="7">
        <f t="shared" si="32"/>
        <v>0</v>
      </c>
      <c r="O416" s="7">
        <f t="shared" si="33"/>
        <v>0</v>
      </c>
      <c r="P416" s="2">
        <f t="shared" si="34"/>
        <v>0</v>
      </c>
    </row>
    <row r="417" spans="1:16" x14ac:dyDescent="0.3">
      <c r="A417" s="20">
        <v>46463</v>
      </c>
      <c r="J417" s="7">
        <f t="shared" si="28"/>
        <v>0</v>
      </c>
      <c r="K417" s="7">
        <f t="shared" si="29"/>
        <v>0</v>
      </c>
      <c r="L417" s="7">
        <f t="shared" si="30"/>
        <v>0</v>
      </c>
      <c r="M417" s="7">
        <f t="shared" si="31"/>
        <v>0</v>
      </c>
      <c r="N417" s="7">
        <f t="shared" si="32"/>
        <v>0</v>
      </c>
      <c r="O417" s="7">
        <f t="shared" si="33"/>
        <v>0</v>
      </c>
      <c r="P417" s="2">
        <f t="shared" si="34"/>
        <v>0</v>
      </c>
    </row>
    <row r="418" spans="1:16" x14ac:dyDescent="0.3">
      <c r="A418" s="20">
        <v>46464</v>
      </c>
      <c r="J418" s="7">
        <f t="shared" si="28"/>
        <v>0</v>
      </c>
      <c r="K418" s="7">
        <f t="shared" si="29"/>
        <v>0</v>
      </c>
      <c r="L418" s="7">
        <f t="shared" si="30"/>
        <v>0</v>
      </c>
      <c r="M418" s="7">
        <f t="shared" si="31"/>
        <v>0</v>
      </c>
      <c r="N418" s="7">
        <f t="shared" si="32"/>
        <v>0</v>
      </c>
      <c r="O418" s="7">
        <f t="shared" si="33"/>
        <v>0</v>
      </c>
      <c r="P418" s="2">
        <f t="shared" si="34"/>
        <v>0</v>
      </c>
    </row>
    <row r="419" spans="1:16" x14ac:dyDescent="0.3">
      <c r="A419" s="19">
        <v>46465</v>
      </c>
      <c r="J419" s="7">
        <f t="shared" si="28"/>
        <v>0</v>
      </c>
      <c r="K419" s="7">
        <f t="shared" si="29"/>
        <v>0</v>
      </c>
      <c r="L419" s="7">
        <f t="shared" si="30"/>
        <v>0</v>
      </c>
      <c r="M419" s="7">
        <f t="shared" si="31"/>
        <v>0</v>
      </c>
      <c r="N419" s="7">
        <f t="shared" si="32"/>
        <v>0</v>
      </c>
      <c r="O419" s="7">
        <f t="shared" si="33"/>
        <v>0</v>
      </c>
      <c r="P419" s="2">
        <f t="shared" si="34"/>
        <v>0</v>
      </c>
    </row>
    <row r="420" spans="1:16" x14ac:dyDescent="0.3">
      <c r="A420" s="19">
        <v>46466</v>
      </c>
      <c r="J420" s="7">
        <f t="shared" si="28"/>
        <v>0</v>
      </c>
      <c r="K420" s="7">
        <f t="shared" si="29"/>
        <v>0</v>
      </c>
      <c r="L420" s="7">
        <f t="shared" si="30"/>
        <v>0</v>
      </c>
      <c r="M420" s="7">
        <f t="shared" si="31"/>
        <v>0</v>
      </c>
      <c r="N420" s="7">
        <f t="shared" si="32"/>
        <v>0</v>
      </c>
      <c r="O420" s="7">
        <f t="shared" si="33"/>
        <v>0</v>
      </c>
      <c r="P420" s="2">
        <f t="shared" si="34"/>
        <v>0</v>
      </c>
    </row>
    <row r="421" spans="1:16" x14ac:dyDescent="0.3">
      <c r="A421" s="20">
        <v>46467</v>
      </c>
      <c r="J421" s="7">
        <f t="shared" si="28"/>
        <v>0</v>
      </c>
      <c r="K421" s="7">
        <f t="shared" si="29"/>
        <v>0</v>
      </c>
      <c r="L421" s="7">
        <f t="shared" si="30"/>
        <v>0</v>
      </c>
      <c r="M421" s="7">
        <f t="shared" si="31"/>
        <v>0</v>
      </c>
      <c r="N421" s="7">
        <f t="shared" si="32"/>
        <v>0</v>
      </c>
      <c r="O421" s="7">
        <f t="shared" si="33"/>
        <v>0</v>
      </c>
      <c r="P421" s="2">
        <f t="shared" si="34"/>
        <v>0</v>
      </c>
    </row>
    <row r="422" spans="1:16" x14ac:dyDescent="0.3">
      <c r="A422" s="20">
        <v>46468</v>
      </c>
      <c r="J422" s="7">
        <f t="shared" si="28"/>
        <v>0</v>
      </c>
      <c r="K422" s="7">
        <f t="shared" si="29"/>
        <v>0</v>
      </c>
      <c r="L422" s="7">
        <f t="shared" si="30"/>
        <v>0</v>
      </c>
      <c r="M422" s="7">
        <f t="shared" si="31"/>
        <v>0</v>
      </c>
      <c r="N422" s="7">
        <f t="shared" si="32"/>
        <v>0</v>
      </c>
      <c r="O422" s="7">
        <f t="shared" si="33"/>
        <v>0</v>
      </c>
      <c r="P422" s="2">
        <f t="shared" si="34"/>
        <v>0</v>
      </c>
    </row>
    <row r="423" spans="1:16" x14ac:dyDescent="0.3">
      <c r="A423" s="20">
        <v>46469</v>
      </c>
      <c r="J423" s="7">
        <f t="shared" si="28"/>
        <v>0</v>
      </c>
      <c r="K423" s="7">
        <f t="shared" si="29"/>
        <v>0</v>
      </c>
      <c r="L423" s="7">
        <f t="shared" si="30"/>
        <v>0</v>
      </c>
      <c r="M423" s="7">
        <f t="shared" si="31"/>
        <v>0</v>
      </c>
      <c r="N423" s="7">
        <f t="shared" si="32"/>
        <v>0</v>
      </c>
      <c r="O423" s="7">
        <f t="shared" si="33"/>
        <v>0</v>
      </c>
      <c r="P423" s="2">
        <f t="shared" si="34"/>
        <v>0</v>
      </c>
    </row>
    <row r="424" spans="1:16" x14ac:dyDescent="0.3">
      <c r="A424" s="20">
        <v>46470</v>
      </c>
      <c r="J424" s="7">
        <f t="shared" si="28"/>
        <v>0</v>
      </c>
      <c r="K424" s="7">
        <f t="shared" si="29"/>
        <v>0</v>
      </c>
      <c r="L424" s="7">
        <f t="shared" si="30"/>
        <v>0</v>
      </c>
      <c r="M424" s="7">
        <f t="shared" si="31"/>
        <v>0</v>
      </c>
      <c r="N424" s="7">
        <f t="shared" si="32"/>
        <v>0</v>
      </c>
      <c r="O424" s="7">
        <f t="shared" si="33"/>
        <v>0</v>
      </c>
      <c r="P424" s="2">
        <f t="shared" si="34"/>
        <v>0</v>
      </c>
    </row>
    <row r="425" spans="1:16" x14ac:dyDescent="0.3">
      <c r="A425" s="20">
        <v>46471</v>
      </c>
      <c r="J425" s="7">
        <f t="shared" si="28"/>
        <v>0</v>
      </c>
      <c r="K425" s="7">
        <f t="shared" si="29"/>
        <v>0</v>
      </c>
      <c r="L425" s="7">
        <f t="shared" si="30"/>
        <v>0</v>
      </c>
      <c r="M425" s="7">
        <f t="shared" si="31"/>
        <v>0</v>
      </c>
      <c r="N425" s="7">
        <f t="shared" si="32"/>
        <v>0</v>
      </c>
      <c r="O425" s="7">
        <f t="shared" si="33"/>
        <v>0</v>
      </c>
      <c r="P425" s="2">
        <f t="shared" si="34"/>
        <v>0</v>
      </c>
    </row>
    <row r="426" spans="1:16" x14ac:dyDescent="0.3">
      <c r="A426" s="19">
        <v>46472</v>
      </c>
      <c r="J426" s="7">
        <f t="shared" si="28"/>
        <v>0</v>
      </c>
      <c r="K426" s="7">
        <f t="shared" si="29"/>
        <v>0</v>
      </c>
      <c r="L426" s="7">
        <f t="shared" si="30"/>
        <v>0</v>
      </c>
      <c r="M426" s="7">
        <f t="shared" si="31"/>
        <v>0</v>
      </c>
      <c r="N426" s="7">
        <f t="shared" si="32"/>
        <v>0</v>
      </c>
      <c r="O426" s="7">
        <f t="shared" si="33"/>
        <v>0</v>
      </c>
      <c r="P426" s="2">
        <f t="shared" si="34"/>
        <v>0</v>
      </c>
    </row>
    <row r="427" spans="1:16" x14ac:dyDescent="0.3">
      <c r="A427" s="19">
        <v>46473</v>
      </c>
      <c r="J427" s="7">
        <f t="shared" si="28"/>
        <v>0</v>
      </c>
      <c r="K427" s="7">
        <f t="shared" si="29"/>
        <v>0</v>
      </c>
      <c r="L427" s="7">
        <f t="shared" si="30"/>
        <v>0</v>
      </c>
      <c r="M427" s="7">
        <f t="shared" si="31"/>
        <v>0</v>
      </c>
      <c r="N427" s="7">
        <f t="shared" si="32"/>
        <v>0</v>
      </c>
      <c r="O427" s="7">
        <f t="shared" si="33"/>
        <v>0</v>
      </c>
      <c r="P427" s="2">
        <f t="shared" si="34"/>
        <v>0</v>
      </c>
    </row>
    <row r="428" spans="1:16" x14ac:dyDescent="0.3">
      <c r="A428" s="20">
        <v>46474</v>
      </c>
      <c r="J428" s="7">
        <f t="shared" si="28"/>
        <v>0</v>
      </c>
      <c r="K428" s="7">
        <f t="shared" si="29"/>
        <v>0</v>
      </c>
      <c r="L428" s="7">
        <f t="shared" si="30"/>
        <v>0</v>
      </c>
      <c r="M428" s="7">
        <f t="shared" si="31"/>
        <v>0</v>
      </c>
      <c r="N428" s="7">
        <f t="shared" si="32"/>
        <v>0</v>
      </c>
      <c r="O428" s="7">
        <f t="shared" si="33"/>
        <v>0</v>
      </c>
      <c r="P428" s="2">
        <f t="shared" si="34"/>
        <v>0</v>
      </c>
    </row>
    <row r="429" spans="1:16" x14ac:dyDescent="0.3">
      <c r="A429" s="20">
        <v>46475</v>
      </c>
      <c r="J429" s="7">
        <f t="shared" si="28"/>
        <v>0</v>
      </c>
      <c r="K429" s="7">
        <f t="shared" si="29"/>
        <v>0</v>
      </c>
      <c r="L429" s="7">
        <f t="shared" si="30"/>
        <v>0</v>
      </c>
      <c r="M429" s="7">
        <f t="shared" si="31"/>
        <v>0</v>
      </c>
      <c r="N429" s="7">
        <f t="shared" si="32"/>
        <v>0</v>
      </c>
      <c r="O429" s="7">
        <f t="shared" si="33"/>
        <v>0</v>
      </c>
      <c r="P429" s="2">
        <f t="shared" si="34"/>
        <v>0</v>
      </c>
    </row>
    <row r="430" spans="1:16" x14ac:dyDescent="0.3">
      <c r="A430" s="20">
        <v>46476</v>
      </c>
      <c r="J430" s="7">
        <f t="shared" si="28"/>
        <v>0</v>
      </c>
      <c r="K430" s="7">
        <f t="shared" si="29"/>
        <v>0</v>
      </c>
      <c r="L430" s="7">
        <f t="shared" si="30"/>
        <v>0</v>
      </c>
      <c r="M430" s="7">
        <f t="shared" si="31"/>
        <v>0</v>
      </c>
      <c r="N430" s="7">
        <f t="shared" si="32"/>
        <v>0</v>
      </c>
      <c r="O430" s="7">
        <f t="shared" si="33"/>
        <v>0</v>
      </c>
      <c r="P430" s="2">
        <f t="shared" si="34"/>
        <v>0</v>
      </c>
    </row>
    <row r="431" spans="1:16" x14ac:dyDescent="0.3">
      <c r="A431" s="20">
        <v>46477</v>
      </c>
      <c r="J431" s="7">
        <f t="shared" si="28"/>
        <v>0</v>
      </c>
      <c r="K431" s="7">
        <f t="shared" si="29"/>
        <v>0</v>
      </c>
      <c r="L431" s="7">
        <f t="shared" si="30"/>
        <v>0</v>
      </c>
      <c r="M431" s="7">
        <f t="shared" si="31"/>
        <v>0</v>
      </c>
      <c r="N431" s="7">
        <f t="shared" si="32"/>
        <v>0</v>
      </c>
      <c r="O431" s="7">
        <f t="shared" si="33"/>
        <v>0</v>
      </c>
      <c r="P431" s="2">
        <f t="shared" si="34"/>
        <v>0</v>
      </c>
    </row>
    <row r="432" spans="1:16" x14ac:dyDescent="0.3">
      <c r="A432" s="20">
        <v>46478</v>
      </c>
      <c r="J432" s="7">
        <f t="shared" si="28"/>
        <v>0</v>
      </c>
      <c r="K432" s="7">
        <f t="shared" si="29"/>
        <v>0</v>
      </c>
      <c r="L432" s="7">
        <f t="shared" si="30"/>
        <v>0</v>
      </c>
      <c r="M432" s="7">
        <f t="shared" si="31"/>
        <v>0</v>
      </c>
      <c r="N432" s="7">
        <f t="shared" si="32"/>
        <v>0</v>
      </c>
      <c r="O432" s="7">
        <f t="shared" si="33"/>
        <v>0</v>
      </c>
      <c r="P432" s="2">
        <f t="shared" si="34"/>
        <v>0</v>
      </c>
    </row>
    <row r="433" spans="1:16" x14ac:dyDescent="0.3">
      <c r="A433" s="19">
        <v>46479</v>
      </c>
      <c r="J433" s="7">
        <f t="shared" si="28"/>
        <v>0</v>
      </c>
      <c r="K433" s="7">
        <f t="shared" si="29"/>
        <v>0</v>
      </c>
      <c r="L433" s="7">
        <f t="shared" si="30"/>
        <v>0</v>
      </c>
      <c r="M433" s="7">
        <f t="shared" si="31"/>
        <v>0</v>
      </c>
      <c r="N433" s="7">
        <f t="shared" si="32"/>
        <v>0</v>
      </c>
      <c r="O433" s="7">
        <f t="shared" si="33"/>
        <v>0</v>
      </c>
      <c r="P433" s="2">
        <f t="shared" si="34"/>
        <v>0</v>
      </c>
    </row>
    <row r="434" spans="1:16" x14ac:dyDescent="0.3">
      <c r="A434" s="19">
        <v>46480</v>
      </c>
      <c r="J434" s="7">
        <f t="shared" si="28"/>
        <v>0</v>
      </c>
      <c r="K434" s="7">
        <f t="shared" si="29"/>
        <v>0</v>
      </c>
      <c r="L434" s="7">
        <f t="shared" si="30"/>
        <v>0</v>
      </c>
      <c r="M434" s="7">
        <f t="shared" si="31"/>
        <v>0</v>
      </c>
      <c r="N434" s="7">
        <f t="shared" si="32"/>
        <v>0</v>
      </c>
      <c r="O434" s="7">
        <f t="shared" si="33"/>
        <v>0</v>
      </c>
      <c r="P434" s="2">
        <f t="shared" si="34"/>
        <v>0</v>
      </c>
    </row>
    <row r="435" spans="1:16" x14ac:dyDescent="0.3">
      <c r="A435" s="20">
        <v>46481</v>
      </c>
      <c r="J435" s="7">
        <f t="shared" si="28"/>
        <v>0</v>
      </c>
      <c r="K435" s="7">
        <f t="shared" si="29"/>
        <v>0</v>
      </c>
      <c r="L435" s="7">
        <f t="shared" si="30"/>
        <v>0</v>
      </c>
      <c r="M435" s="7">
        <f t="shared" si="31"/>
        <v>0</v>
      </c>
      <c r="N435" s="7">
        <f t="shared" si="32"/>
        <v>0</v>
      </c>
      <c r="O435" s="7">
        <f t="shared" si="33"/>
        <v>0</v>
      </c>
      <c r="P435" s="2">
        <f t="shared" si="34"/>
        <v>0</v>
      </c>
    </row>
    <row r="436" spans="1:16" x14ac:dyDescent="0.3">
      <c r="A436" s="20">
        <v>46482</v>
      </c>
      <c r="J436" s="7">
        <f t="shared" si="28"/>
        <v>0</v>
      </c>
      <c r="K436" s="7">
        <f t="shared" si="29"/>
        <v>0</v>
      </c>
      <c r="L436" s="7">
        <f t="shared" si="30"/>
        <v>0</v>
      </c>
      <c r="M436" s="7">
        <f t="shared" si="31"/>
        <v>0</v>
      </c>
      <c r="N436" s="7">
        <f t="shared" si="32"/>
        <v>0</v>
      </c>
      <c r="O436" s="7">
        <f t="shared" si="33"/>
        <v>0</v>
      </c>
      <c r="P436" s="2">
        <f t="shared" si="34"/>
        <v>0</v>
      </c>
    </row>
    <row r="437" spans="1:16" x14ac:dyDescent="0.3">
      <c r="A437" s="20">
        <v>46483</v>
      </c>
      <c r="J437" s="7">
        <f t="shared" si="28"/>
        <v>0</v>
      </c>
      <c r="K437" s="7">
        <f t="shared" si="29"/>
        <v>0</v>
      </c>
      <c r="L437" s="7">
        <f t="shared" si="30"/>
        <v>0</v>
      </c>
      <c r="M437" s="7">
        <f t="shared" si="31"/>
        <v>0</v>
      </c>
      <c r="N437" s="7">
        <f t="shared" si="32"/>
        <v>0</v>
      </c>
      <c r="O437" s="7">
        <f t="shared" si="33"/>
        <v>0</v>
      </c>
      <c r="P437" s="2">
        <f t="shared" si="34"/>
        <v>0</v>
      </c>
    </row>
    <row r="438" spans="1:16" x14ac:dyDescent="0.3">
      <c r="A438" s="20">
        <v>46484</v>
      </c>
      <c r="J438" s="7">
        <f t="shared" si="28"/>
        <v>0</v>
      </c>
      <c r="K438" s="7">
        <f t="shared" si="29"/>
        <v>0</v>
      </c>
      <c r="L438" s="7">
        <f t="shared" si="30"/>
        <v>0</v>
      </c>
      <c r="M438" s="7">
        <f t="shared" si="31"/>
        <v>0</v>
      </c>
      <c r="N438" s="7">
        <f t="shared" si="32"/>
        <v>0</v>
      </c>
      <c r="O438" s="7">
        <f t="shared" si="33"/>
        <v>0</v>
      </c>
      <c r="P438" s="2">
        <f t="shared" si="34"/>
        <v>0</v>
      </c>
    </row>
    <row r="439" spans="1:16" x14ac:dyDescent="0.3">
      <c r="A439" s="20">
        <v>46485</v>
      </c>
      <c r="J439" s="7">
        <f t="shared" si="28"/>
        <v>0</v>
      </c>
      <c r="K439" s="7">
        <f t="shared" si="29"/>
        <v>0</v>
      </c>
      <c r="L439" s="7">
        <f t="shared" si="30"/>
        <v>0</v>
      </c>
      <c r="M439" s="7">
        <f t="shared" si="31"/>
        <v>0</v>
      </c>
      <c r="N439" s="7">
        <f t="shared" si="32"/>
        <v>0</v>
      </c>
      <c r="O439" s="7">
        <f t="shared" si="33"/>
        <v>0</v>
      </c>
      <c r="P439" s="2">
        <f t="shared" si="34"/>
        <v>0</v>
      </c>
    </row>
    <row r="440" spans="1:16" x14ac:dyDescent="0.3">
      <c r="A440" s="19">
        <v>46486</v>
      </c>
      <c r="J440" s="7">
        <f t="shared" si="28"/>
        <v>0</v>
      </c>
      <c r="K440" s="7">
        <f t="shared" si="29"/>
        <v>0</v>
      </c>
      <c r="L440" s="7">
        <f t="shared" si="30"/>
        <v>0</v>
      </c>
      <c r="M440" s="7">
        <f t="shared" si="31"/>
        <v>0</v>
      </c>
      <c r="N440" s="7">
        <f t="shared" si="32"/>
        <v>0</v>
      </c>
      <c r="O440" s="7">
        <f t="shared" si="33"/>
        <v>0</v>
      </c>
      <c r="P440" s="2">
        <f t="shared" si="34"/>
        <v>0</v>
      </c>
    </row>
    <row r="441" spans="1:16" x14ac:dyDescent="0.3">
      <c r="A441" s="19">
        <v>46487</v>
      </c>
      <c r="J441" s="7">
        <f t="shared" si="28"/>
        <v>0</v>
      </c>
      <c r="K441" s="7">
        <f t="shared" si="29"/>
        <v>0</v>
      </c>
      <c r="L441" s="7">
        <f t="shared" si="30"/>
        <v>0</v>
      </c>
      <c r="M441" s="7">
        <f t="shared" si="31"/>
        <v>0</v>
      </c>
      <c r="N441" s="7">
        <f t="shared" si="32"/>
        <v>0</v>
      </c>
      <c r="O441" s="7">
        <f t="shared" si="33"/>
        <v>0</v>
      </c>
      <c r="P441" s="2">
        <f t="shared" si="34"/>
        <v>0</v>
      </c>
    </row>
    <row r="442" spans="1:16" x14ac:dyDescent="0.3">
      <c r="A442" s="20">
        <v>46488</v>
      </c>
      <c r="J442" s="7">
        <f t="shared" si="28"/>
        <v>0</v>
      </c>
      <c r="K442" s="7">
        <f t="shared" si="29"/>
        <v>0</v>
      </c>
      <c r="L442" s="7">
        <f t="shared" si="30"/>
        <v>0</v>
      </c>
      <c r="M442" s="7">
        <f t="shared" si="31"/>
        <v>0</v>
      </c>
      <c r="N442" s="7">
        <f t="shared" si="32"/>
        <v>0</v>
      </c>
      <c r="O442" s="7">
        <f t="shared" si="33"/>
        <v>0</v>
      </c>
      <c r="P442" s="2">
        <f t="shared" si="34"/>
        <v>0</v>
      </c>
    </row>
    <row r="443" spans="1:16" x14ac:dyDescent="0.3">
      <c r="A443" s="20">
        <v>46489</v>
      </c>
      <c r="J443" s="7">
        <f t="shared" si="28"/>
        <v>0</v>
      </c>
      <c r="K443" s="7">
        <f t="shared" si="29"/>
        <v>0</v>
      </c>
      <c r="L443" s="7">
        <f t="shared" si="30"/>
        <v>0</v>
      </c>
      <c r="M443" s="7">
        <f t="shared" si="31"/>
        <v>0</v>
      </c>
      <c r="N443" s="7">
        <f t="shared" si="32"/>
        <v>0</v>
      </c>
      <c r="O443" s="7">
        <f t="shared" si="33"/>
        <v>0</v>
      </c>
      <c r="P443" s="2">
        <f t="shared" si="34"/>
        <v>0</v>
      </c>
    </row>
    <row r="444" spans="1:16" x14ac:dyDescent="0.3">
      <c r="A444" s="20">
        <v>46490</v>
      </c>
      <c r="J444" s="7">
        <f t="shared" si="28"/>
        <v>0</v>
      </c>
      <c r="K444" s="7">
        <f t="shared" si="29"/>
        <v>0</v>
      </c>
      <c r="L444" s="7">
        <f t="shared" si="30"/>
        <v>0</v>
      </c>
      <c r="M444" s="7">
        <f t="shared" si="31"/>
        <v>0</v>
      </c>
      <c r="N444" s="7">
        <f t="shared" si="32"/>
        <v>0</v>
      </c>
      <c r="O444" s="7">
        <f t="shared" si="33"/>
        <v>0</v>
      </c>
      <c r="P444" s="2">
        <f t="shared" si="34"/>
        <v>0</v>
      </c>
    </row>
    <row r="445" spans="1:16" x14ac:dyDescent="0.3">
      <c r="A445" s="20">
        <v>46491</v>
      </c>
      <c r="J445" s="7">
        <f t="shared" si="28"/>
        <v>0</v>
      </c>
      <c r="K445" s="7">
        <f t="shared" si="29"/>
        <v>0</v>
      </c>
      <c r="L445" s="7">
        <f t="shared" si="30"/>
        <v>0</v>
      </c>
      <c r="M445" s="7">
        <f t="shared" si="31"/>
        <v>0</v>
      </c>
      <c r="N445" s="7">
        <f t="shared" si="32"/>
        <v>0</v>
      </c>
      <c r="O445" s="7">
        <f t="shared" si="33"/>
        <v>0</v>
      </c>
      <c r="P445" s="2">
        <f t="shared" si="34"/>
        <v>0</v>
      </c>
    </row>
    <row r="446" spans="1:16" x14ac:dyDescent="0.3">
      <c r="A446" s="20">
        <v>46492</v>
      </c>
      <c r="J446" s="7">
        <f t="shared" si="28"/>
        <v>0</v>
      </c>
      <c r="K446" s="7">
        <f t="shared" si="29"/>
        <v>0</v>
      </c>
      <c r="L446" s="7">
        <f t="shared" si="30"/>
        <v>0</v>
      </c>
      <c r="M446" s="7">
        <f t="shared" si="31"/>
        <v>0</v>
      </c>
      <c r="N446" s="7">
        <f t="shared" si="32"/>
        <v>0</v>
      </c>
      <c r="O446" s="7">
        <f t="shared" si="33"/>
        <v>0</v>
      </c>
      <c r="P446" s="2">
        <f t="shared" si="34"/>
        <v>0</v>
      </c>
    </row>
    <row r="447" spans="1:16" x14ac:dyDescent="0.3">
      <c r="A447" s="19">
        <v>46493</v>
      </c>
      <c r="J447" s="7">
        <f t="shared" si="28"/>
        <v>0</v>
      </c>
      <c r="K447" s="7">
        <f t="shared" si="29"/>
        <v>0</v>
      </c>
      <c r="L447" s="7">
        <f t="shared" si="30"/>
        <v>0</v>
      </c>
      <c r="M447" s="7">
        <f t="shared" si="31"/>
        <v>0</v>
      </c>
      <c r="N447" s="7">
        <f t="shared" si="32"/>
        <v>0</v>
      </c>
      <c r="O447" s="7">
        <f t="shared" si="33"/>
        <v>0</v>
      </c>
      <c r="P447" s="2">
        <f t="shared" si="34"/>
        <v>0</v>
      </c>
    </row>
    <row r="448" spans="1:16" x14ac:dyDescent="0.3">
      <c r="A448" s="19">
        <v>46494</v>
      </c>
      <c r="J448" s="7">
        <f t="shared" si="28"/>
        <v>0</v>
      </c>
      <c r="K448" s="7">
        <f t="shared" si="29"/>
        <v>0</v>
      </c>
      <c r="L448" s="7">
        <f t="shared" si="30"/>
        <v>0</v>
      </c>
      <c r="M448" s="7">
        <f t="shared" si="31"/>
        <v>0</v>
      </c>
      <c r="N448" s="7">
        <f t="shared" si="32"/>
        <v>0</v>
      </c>
      <c r="O448" s="7">
        <f t="shared" si="33"/>
        <v>0</v>
      </c>
      <c r="P448" s="2">
        <f t="shared" si="34"/>
        <v>0</v>
      </c>
    </row>
    <row r="449" spans="1:16" x14ac:dyDescent="0.3">
      <c r="A449" s="20">
        <v>46495</v>
      </c>
      <c r="J449" s="7">
        <f t="shared" si="28"/>
        <v>0</v>
      </c>
      <c r="K449" s="7">
        <f t="shared" si="29"/>
        <v>0</v>
      </c>
      <c r="L449" s="7">
        <f t="shared" si="30"/>
        <v>0</v>
      </c>
      <c r="M449" s="7">
        <f t="shared" si="31"/>
        <v>0</v>
      </c>
      <c r="N449" s="7">
        <f t="shared" si="32"/>
        <v>0</v>
      </c>
      <c r="O449" s="7">
        <f t="shared" si="33"/>
        <v>0</v>
      </c>
      <c r="P449" s="2">
        <f t="shared" si="34"/>
        <v>0</v>
      </c>
    </row>
    <row r="450" spans="1:16" x14ac:dyDescent="0.3">
      <c r="A450" s="20">
        <v>46496</v>
      </c>
      <c r="J450" s="7">
        <f t="shared" si="28"/>
        <v>0</v>
      </c>
      <c r="K450" s="7">
        <f t="shared" si="29"/>
        <v>0</v>
      </c>
      <c r="L450" s="7">
        <f t="shared" si="30"/>
        <v>0</v>
      </c>
      <c r="M450" s="7">
        <f t="shared" si="31"/>
        <v>0</v>
      </c>
      <c r="N450" s="7">
        <f t="shared" si="32"/>
        <v>0</v>
      </c>
      <c r="O450" s="7">
        <f t="shared" si="33"/>
        <v>0</v>
      </c>
      <c r="P450" s="2">
        <f t="shared" si="34"/>
        <v>0</v>
      </c>
    </row>
    <row r="451" spans="1:16" x14ac:dyDescent="0.3">
      <c r="A451" s="20">
        <v>46497</v>
      </c>
      <c r="J451" s="7">
        <f t="shared" si="28"/>
        <v>0</v>
      </c>
      <c r="K451" s="7">
        <f t="shared" si="29"/>
        <v>0</v>
      </c>
      <c r="L451" s="7">
        <f t="shared" si="30"/>
        <v>0</v>
      </c>
      <c r="M451" s="7">
        <f t="shared" si="31"/>
        <v>0</v>
      </c>
      <c r="N451" s="7">
        <f t="shared" si="32"/>
        <v>0</v>
      </c>
      <c r="O451" s="7">
        <f t="shared" si="33"/>
        <v>0</v>
      </c>
      <c r="P451" s="2">
        <f t="shared" si="34"/>
        <v>0</v>
      </c>
    </row>
    <row r="452" spans="1:16" x14ac:dyDescent="0.3">
      <c r="A452" s="20">
        <v>46498</v>
      </c>
      <c r="J452" s="7">
        <f t="shared" si="28"/>
        <v>0</v>
      </c>
      <c r="K452" s="7">
        <f t="shared" si="29"/>
        <v>0</v>
      </c>
      <c r="L452" s="7">
        <f t="shared" si="30"/>
        <v>0</v>
      </c>
      <c r="M452" s="7">
        <f t="shared" si="31"/>
        <v>0</v>
      </c>
      <c r="N452" s="7">
        <f t="shared" si="32"/>
        <v>0</v>
      </c>
      <c r="O452" s="7">
        <f t="shared" si="33"/>
        <v>0</v>
      </c>
      <c r="P452" s="2">
        <f t="shared" si="34"/>
        <v>0</v>
      </c>
    </row>
    <row r="453" spans="1:16" x14ac:dyDescent="0.3">
      <c r="A453" s="20">
        <v>46499</v>
      </c>
      <c r="J453" s="7">
        <f t="shared" si="28"/>
        <v>0</v>
      </c>
      <c r="K453" s="7">
        <f t="shared" si="29"/>
        <v>0</v>
      </c>
      <c r="L453" s="7">
        <f t="shared" si="30"/>
        <v>0</v>
      </c>
      <c r="M453" s="7">
        <f t="shared" si="31"/>
        <v>0</v>
      </c>
      <c r="N453" s="7">
        <f t="shared" si="32"/>
        <v>0</v>
      </c>
      <c r="O453" s="7">
        <f t="shared" si="33"/>
        <v>0</v>
      </c>
      <c r="P453" s="2">
        <f t="shared" si="34"/>
        <v>0</v>
      </c>
    </row>
    <row r="454" spans="1:16" x14ac:dyDescent="0.3">
      <c r="A454" s="19">
        <v>46500</v>
      </c>
      <c r="J454" s="7">
        <f t="shared" si="28"/>
        <v>0</v>
      </c>
      <c r="K454" s="7">
        <f t="shared" si="29"/>
        <v>0</v>
      </c>
      <c r="L454" s="7">
        <f t="shared" si="30"/>
        <v>0</v>
      </c>
      <c r="M454" s="7">
        <f t="shared" si="31"/>
        <v>0</v>
      </c>
      <c r="N454" s="7">
        <f t="shared" si="32"/>
        <v>0</v>
      </c>
      <c r="O454" s="7">
        <f t="shared" si="33"/>
        <v>0</v>
      </c>
      <c r="P454" s="2">
        <f t="shared" si="34"/>
        <v>0</v>
      </c>
    </row>
    <row r="455" spans="1:16" x14ac:dyDescent="0.3">
      <c r="A455" s="19">
        <v>46501</v>
      </c>
      <c r="J455" s="7">
        <f t="shared" si="28"/>
        <v>0</v>
      </c>
      <c r="K455" s="7">
        <f t="shared" si="29"/>
        <v>0</v>
      </c>
      <c r="L455" s="7">
        <f t="shared" si="30"/>
        <v>0</v>
      </c>
      <c r="M455" s="7">
        <f t="shared" si="31"/>
        <v>0</v>
      </c>
      <c r="N455" s="7">
        <f t="shared" si="32"/>
        <v>0</v>
      </c>
      <c r="O455" s="7">
        <f t="shared" si="33"/>
        <v>0</v>
      </c>
      <c r="P455" s="2">
        <f t="shared" si="34"/>
        <v>0</v>
      </c>
    </row>
    <row r="456" spans="1:16" x14ac:dyDescent="0.3">
      <c r="A456" s="20">
        <v>46502</v>
      </c>
      <c r="J456" s="7">
        <f t="shared" si="28"/>
        <v>0</v>
      </c>
      <c r="K456" s="7">
        <f t="shared" si="29"/>
        <v>0</v>
      </c>
      <c r="L456" s="7">
        <f t="shared" si="30"/>
        <v>0</v>
      </c>
      <c r="M456" s="7">
        <f t="shared" si="31"/>
        <v>0</v>
      </c>
      <c r="N456" s="7">
        <f t="shared" si="32"/>
        <v>0</v>
      </c>
      <c r="O456" s="7">
        <f t="shared" si="33"/>
        <v>0</v>
      </c>
      <c r="P456" s="2">
        <f t="shared" si="34"/>
        <v>0</v>
      </c>
    </row>
    <row r="457" spans="1:16" x14ac:dyDescent="0.3">
      <c r="A457" s="20">
        <v>46503</v>
      </c>
      <c r="J457" s="7">
        <f t="shared" si="28"/>
        <v>0</v>
      </c>
      <c r="K457" s="7">
        <f t="shared" si="29"/>
        <v>0</v>
      </c>
      <c r="L457" s="7">
        <f t="shared" si="30"/>
        <v>0</v>
      </c>
      <c r="M457" s="7">
        <f t="shared" si="31"/>
        <v>0</v>
      </c>
      <c r="N457" s="7">
        <f t="shared" si="32"/>
        <v>0</v>
      </c>
      <c r="O457" s="7">
        <f t="shared" si="33"/>
        <v>0</v>
      </c>
      <c r="P457" s="2">
        <f t="shared" si="34"/>
        <v>0</v>
      </c>
    </row>
    <row r="458" spans="1:16" x14ac:dyDescent="0.3">
      <c r="A458" s="20">
        <v>46504</v>
      </c>
      <c r="J458" s="7">
        <f t="shared" si="28"/>
        <v>0</v>
      </c>
      <c r="K458" s="7">
        <f t="shared" si="29"/>
        <v>0</v>
      </c>
      <c r="L458" s="7">
        <f t="shared" si="30"/>
        <v>0</v>
      </c>
      <c r="M458" s="7">
        <f t="shared" si="31"/>
        <v>0</v>
      </c>
      <c r="N458" s="7">
        <f t="shared" si="32"/>
        <v>0</v>
      </c>
      <c r="O458" s="7">
        <f t="shared" si="33"/>
        <v>0</v>
      </c>
      <c r="P458" s="2">
        <f t="shared" si="34"/>
        <v>0</v>
      </c>
    </row>
    <row r="459" spans="1:16" x14ac:dyDescent="0.3">
      <c r="A459" s="20">
        <v>46505</v>
      </c>
      <c r="J459" s="7">
        <f t="shared" si="28"/>
        <v>0</v>
      </c>
      <c r="K459" s="7">
        <f t="shared" si="29"/>
        <v>0</v>
      </c>
      <c r="L459" s="7">
        <f t="shared" si="30"/>
        <v>0</v>
      </c>
      <c r="M459" s="7">
        <f t="shared" si="31"/>
        <v>0</v>
      </c>
      <c r="N459" s="7">
        <f t="shared" si="32"/>
        <v>0</v>
      </c>
      <c r="O459" s="7">
        <f t="shared" si="33"/>
        <v>0</v>
      </c>
      <c r="P459" s="2">
        <f t="shared" si="34"/>
        <v>0</v>
      </c>
    </row>
    <row r="460" spans="1:16" x14ac:dyDescent="0.3">
      <c r="A460" s="20">
        <v>46506</v>
      </c>
      <c r="J460" s="7">
        <f t="shared" si="28"/>
        <v>0</v>
      </c>
      <c r="K460" s="7">
        <f t="shared" si="29"/>
        <v>0</v>
      </c>
      <c r="L460" s="7">
        <f t="shared" si="30"/>
        <v>0</v>
      </c>
      <c r="M460" s="7">
        <f t="shared" si="31"/>
        <v>0</v>
      </c>
      <c r="N460" s="7">
        <f t="shared" si="32"/>
        <v>0</v>
      </c>
      <c r="O460" s="7">
        <f t="shared" si="33"/>
        <v>0</v>
      </c>
      <c r="P460" s="2">
        <f t="shared" si="34"/>
        <v>0</v>
      </c>
    </row>
    <row r="461" spans="1:16" x14ac:dyDescent="0.3">
      <c r="A461" s="19">
        <v>46507</v>
      </c>
      <c r="J461" s="7">
        <f t="shared" si="28"/>
        <v>0</v>
      </c>
      <c r="K461" s="7">
        <f t="shared" si="29"/>
        <v>0</v>
      </c>
      <c r="L461" s="7">
        <f t="shared" si="30"/>
        <v>0</v>
      </c>
      <c r="M461" s="7">
        <f t="shared" si="31"/>
        <v>0</v>
      </c>
      <c r="N461" s="7">
        <f t="shared" si="32"/>
        <v>0</v>
      </c>
      <c r="O461" s="7">
        <f t="shared" si="33"/>
        <v>0</v>
      </c>
      <c r="P461" s="2">
        <f t="shared" si="34"/>
        <v>0</v>
      </c>
    </row>
    <row r="462" spans="1:16" x14ac:dyDescent="0.3">
      <c r="A462" s="19">
        <v>46508</v>
      </c>
      <c r="J462" s="7">
        <f t="shared" si="28"/>
        <v>0</v>
      </c>
      <c r="K462" s="7">
        <f t="shared" si="29"/>
        <v>0</v>
      </c>
      <c r="L462" s="7">
        <f t="shared" si="30"/>
        <v>0</v>
      </c>
      <c r="M462" s="7">
        <f t="shared" si="31"/>
        <v>0</v>
      </c>
      <c r="N462" s="7">
        <f t="shared" si="32"/>
        <v>0</v>
      </c>
      <c r="O462" s="7">
        <f t="shared" si="33"/>
        <v>0</v>
      </c>
      <c r="P462" s="2">
        <f t="shared" si="34"/>
        <v>0</v>
      </c>
    </row>
    <row r="463" spans="1:16" x14ac:dyDescent="0.3">
      <c r="A463" s="19">
        <v>46509</v>
      </c>
      <c r="J463" s="7">
        <f t="shared" si="28"/>
        <v>0</v>
      </c>
      <c r="K463" s="7">
        <f t="shared" si="29"/>
        <v>0</v>
      </c>
      <c r="L463" s="7">
        <f t="shared" si="30"/>
        <v>0</v>
      </c>
      <c r="M463" s="7">
        <f t="shared" si="31"/>
        <v>0</v>
      </c>
      <c r="N463" s="7">
        <f t="shared" si="32"/>
        <v>0</v>
      </c>
      <c r="O463" s="7">
        <f t="shared" si="33"/>
        <v>0</v>
      </c>
      <c r="P463" s="2">
        <f t="shared" si="34"/>
        <v>0</v>
      </c>
    </row>
    <row r="464" spans="1:16" x14ac:dyDescent="0.3">
      <c r="A464" s="19">
        <v>46510</v>
      </c>
      <c r="J464" s="7">
        <f t="shared" si="28"/>
        <v>0</v>
      </c>
      <c r="K464" s="7">
        <f t="shared" si="29"/>
        <v>0</v>
      </c>
      <c r="L464" s="7">
        <f t="shared" si="30"/>
        <v>0</v>
      </c>
      <c r="M464" s="7">
        <f t="shared" si="31"/>
        <v>0</v>
      </c>
      <c r="N464" s="7">
        <f t="shared" si="32"/>
        <v>0</v>
      </c>
      <c r="O464" s="7">
        <f t="shared" si="33"/>
        <v>0</v>
      </c>
      <c r="P464" s="2">
        <f t="shared" si="34"/>
        <v>0</v>
      </c>
    </row>
    <row r="465" spans="1:16" x14ac:dyDescent="0.3">
      <c r="A465" s="19">
        <v>46511</v>
      </c>
      <c r="J465" s="7">
        <f t="shared" ref="J465:J520" si="35">$J$1*B465</f>
        <v>0</v>
      </c>
      <c r="K465" s="7">
        <f t="shared" ref="K465:K520" si="36">$K$1*C465</f>
        <v>0</v>
      </c>
      <c r="L465" s="7">
        <f t="shared" ref="L465:L520" si="37">$K$1*D465</f>
        <v>0</v>
      </c>
      <c r="M465" s="7">
        <f t="shared" ref="M465:M520" si="38">$M$1*E465</f>
        <v>0</v>
      </c>
      <c r="N465" s="7">
        <f t="shared" ref="N465:N520" si="39">$N$1*F465</f>
        <v>0</v>
      </c>
      <c r="O465" s="7">
        <f t="shared" ref="O465:O520" si="40">G465</f>
        <v>0</v>
      </c>
      <c r="P465" s="2">
        <f t="shared" ref="P465:P520" si="41">H465</f>
        <v>0</v>
      </c>
    </row>
    <row r="466" spans="1:16" x14ac:dyDescent="0.3">
      <c r="A466" s="20">
        <v>46512</v>
      </c>
      <c r="B466" s="7">
        <v>90000</v>
      </c>
      <c r="C466" s="7">
        <v>110000</v>
      </c>
      <c r="D466" s="7">
        <v>130000</v>
      </c>
      <c r="E466" s="7">
        <v>140000</v>
      </c>
      <c r="F466" s="7">
        <v>150000</v>
      </c>
      <c r="G466" s="7">
        <v>450000</v>
      </c>
      <c r="H466" s="7">
        <v>650000</v>
      </c>
      <c r="J466" s="7">
        <f t="shared" si="35"/>
        <v>900000</v>
      </c>
      <c r="K466" s="7">
        <f t="shared" si="36"/>
        <v>330000</v>
      </c>
      <c r="L466" s="7">
        <f t="shared" si="37"/>
        <v>390000</v>
      </c>
      <c r="M466" s="7">
        <f t="shared" si="38"/>
        <v>700000</v>
      </c>
      <c r="N466" s="7">
        <f t="shared" si="39"/>
        <v>900000</v>
      </c>
      <c r="O466" s="7">
        <f t="shared" si="40"/>
        <v>450000</v>
      </c>
      <c r="P466" s="2">
        <f t="shared" si="41"/>
        <v>650000</v>
      </c>
    </row>
    <row r="467" spans="1:16" x14ac:dyDescent="0.3">
      <c r="A467" s="20">
        <v>46513</v>
      </c>
      <c r="B467" s="7">
        <v>90000</v>
      </c>
      <c r="C467" s="7">
        <v>110000</v>
      </c>
      <c r="D467" s="7">
        <v>130000</v>
      </c>
      <c r="E467" s="7">
        <v>140000</v>
      </c>
      <c r="F467" s="7">
        <v>150000</v>
      </c>
      <c r="G467" s="7">
        <v>450000</v>
      </c>
      <c r="H467" s="7">
        <v>650000</v>
      </c>
      <c r="J467" s="7">
        <f t="shared" si="35"/>
        <v>900000</v>
      </c>
      <c r="K467" s="7">
        <f t="shared" si="36"/>
        <v>330000</v>
      </c>
      <c r="L467" s="7">
        <f t="shared" si="37"/>
        <v>390000</v>
      </c>
      <c r="M467" s="7">
        <f t="shared" si="38"/>
        <v>700000</v>
      </c>
      <c r="N467" s="7">
        <f t="shared" si="39"/>
        <v>900000</v>
      </c>
      <c r="O467" s="7">
        <f t="shared" si="40"/>
        <v>450000</v>
      </c>
      <c r="P467" s="2">
        <f t="shared" si="41"/>
        <v>650000</v>
      </c>
    </row>
    <row r="468" spans="1:16" x14ac:dyDescent="0.3">
      <c r="A468" s="20">
        <v>46514</v>
      </c>
      <c r="B468" s="7">
        <v>90000</v>
      </c>
      <c r="C468" s="7">
        <v>110000</v>
      </c>
      <c r="D468" s="7">
        <v>130000</v>
      </c>
      <c r="E468" s="7">
        <v>140000</v>
      </c>
      <c r="F468" s="7">
        <v>150000</v>
      </c>
      <c r="G468" s="7">
        <v>450000</v>
      </c>
      <c r="H468" s="7">
        <v>650000</v>
      </c>
      <c r="J468" s="7">
        <f t="shared" si="35"/>
        <v>900000</v>
      </c>
      <c r="K468" s="7">
        <f t="shared" si="36"/>
        <v>330000</v>
      </c>
      <c r="L468" s="7">
        <f t="shared" si="37"/>
        <v>390000</v>
      </c>
      <c r="M468" s="7">
        <f t="shared" si="38"/>
        <v>700000</v>
      </c>
      <c r="N468" s="7">
        <f t="shared" si="39"/>
        <v>900000</v>
      </c>
      <c r="O468" s="7">
        <f t="shared" si="40"/>
        <v>450000</v>
      </c>
      <c r="P468" s="2">
        <f t="shared" si="41"/>
        <v>650000</v>
      </c>
    </row>
    <row r="469" spans="1:16" x14ac:dyDescent="0.3">
      <c r="A469" s="20">
        <v>46515</v>
      </c>
      <c r="B469" s="7">
        <v>90000</v>
      </c>
      <c r="C469" s="7">
        <v>110000</v>
      </c>
      <c r="D469" s="7">
        <v>130000</v>
      </c>
      <c r="E469" s="7">
        <v>140000</v>
      </c>
      <c r="F469" s="7">
        <v>150000</v>
      </c>
      <c r="G469" s="7">
        <v>450000</v>
      </c>
      <c r="H469" s="7">
        <v>650000</v>
      </c>
      <c r="J469" s="7">
        <f t="shared" si="35"/>
        <v>900000</v>
      </c>
      <c r="K469" s="7">
        <f t="shared" si="36"/>
        <v>330000</v>
      </c>
      <c r="L469" s="7">
        <f t="shared" si="37"/>
        <v>390000</v>
      </c>
      <c r="M469" s="7">
        <f t="shared" si="38"/>
        <v>700000</v>
      </c>
      <c r="N469" s="7">
        <f t="shared" si="39"/>
        <v>900000</v>
      </c>
      <c r="O469" s="7">
        <f t="shared" si="40"/>
        <v>450000</v>
      </c>
      <c r="P469" s="2">
        <f t="shared" si="41"/>
        <v>650000</v>
      </c>
    </row>
    <row r="470" spans="1:16" x14ac:dyDescent="0.3">
      <c r="A470" s="20">
        <v>46516</v>
      </c>
      <c r="B470" s="7">
        <v>90000</v>
      </c>
      <c r="C470" s="7">
        <v>110000</v>
      </c>
      <c r="D470" s="7">
        <v>130000</v>
      </c>
      <c r="E470" s="7">
        <v>140000</v>
      </c>
      <c r="F470" s="7">
        <v>150000</v>
      </c>
      <c r="G470" s="7">
        <v>450000</v>
      </c>
      <c r="H470" s="7">
        <v>650000</v>
      </c>
      <c r="J470" s="7">
        <f t="shared" si="35"/>
        <v>900000</v>
      </c>
      <c r="K470" s="7">
        <f t="shared" si="36"/>
        <v>330000</v>
      </c>
      <c r="L470" s="7">
        <f t="shared" si="37"/>
        <v>390000</v>
      </c>
      <c r="M470" s="7">
        <f t="shared" si="38"/>
        <v>700000</v>
      </c>
      <c r="N470" s="7">
        <f t="shared" si="39"/>
        <v>900000</v>
      </c>
      <c r="O470" s="7">
        <f t="shared" si="40"/>
        <v>450000</v>
      </c>
      <c r="P470" s="2">
        <f t="shared" si="41"/>
        <v>650000</v>
      </c>
    </row>
    <row r="471" spans="1:16" x14ac:dyDescent="0.3">
      <c r="A471" s="20">
        <v>46517</v>
      </c>
      <c r="B471" s="7">
        <v>90000</v>
      </c>
      <c r="C471" s="7">
        <v>110000</v>
      </c>
      <c r="D471" s="7">
        <v>130000</v>
      </c>
      <c r="E471" s="7">
        <v>140000</v>
      </c>
      <c r="F471" s="7">
        <v>150000</v>
      </c>
      <c r="G471" s="7">
        <v>450000</v>
      </c>
      <c r="H471" s="7">
        <v>650000</v>
      </c>
      <c r="J471" s="7">
        <f t="shared" si="35"/>
        <v>900000</v>
      </c>
      <c r="K471" s="7">
        <f t="shared" si="36"/>
        <v>330000</v>
      </c>
      <c r="L471" s="7">
        <f t="shared" si="37"/>
        <v>390000</v>
      </c>
      <c r="M471" s="7">
        <f t="shared" si="38"/>
        <v>700000</v>
      </c>
      <c r="N471" s="7">
        <f t="shared" si="39"/>
        <v>900000</v>
      </c>
      <c r="O471" s="7">
        <f t="shared" si="40"/>
        <v>450000</v>
      </c>
      <c r="P471" s="2">
        <f t="shared" si="41"/>
        <v>650000</v>
      </c>
    </row>
    <row r="472" spans="1:16" x14ac:dyDescent="0.3">
      <c r="A472" s="20">
        <v>46518</v>
      </c>
      <c r="B472" s="7">
        <v>90000</v>
      </c>
      <c r="C472" s="7">
        <v>110000</v>
      </c>
      <c r="D472" s="7">
        <v>130000</v>
      </c>
      <c r="E472" s="7">
        <v>140000</v>
      </c>
      <c r="F472" s="7">
        <v>150000</v>
      </c>
      <c r="G472" s="7">
        <v>450000</v>
      </c>
      <c r="H472" s="7">
        <v>650000</v>
      </c>
      <c r="J472" s="7">
        <f t="shared" si="35"/>
        <v>900000</v>
      </c>
      <c r="K472" s="7">
        <f t="shared" si="36"/>
        <v>330000</v>
      </c>
      <c r="L472" s="7">
        <f t="shared" si="37"/>
        <v>390000</v>
      </c>
      <c r="M472" s="7">
        <f t="shared" si="38"/>
        <v>700000</v>
      </c>
      <c r="N472" s="7">
        <f t="shared" si="39"/>
        <v>900000</v>
      </c>
      <c r="O472" s="7">
        <f t="shared" si="40"/>
        <v>450000</v>
      </c>
      <c r="P472" s="2">
        <f t="shared" si="41"/>
        <v>650000</v>
      </c>
    </row>
    <row r="473" spans="1:16" x14ac:dyDescent="0.3">
      <c r="A473" s="19">
        <v>46519</v>
      </c>
      <c r="B473" s="7">
        <v>140000</v>
      </c>
      <c r="C473" s="7"/>
      <c r="D473" s="7"/>
      <c r="E473" s="7"/>
      <c r="F473" s="7"/>
      <c r="G473" s="7"/>
      <c r="H473" s="7"/>
      <c r="J473" s="7">
        <f t="shared" si="35"/>
        <v>1400000</v>
      </c>
      <c r="K473" s="7">
        <f t="shared" si="36"/>
        <v>0</v>
      </c>
      <c r="L473" s="7">
        <f t="shared" si="37"/>
        <v>0</v>
      </c>
      <c r="M473" s="7">
        <f t="shared" si="38"/>
        <v>0</v>
      </c>
      <c r="N473" s="7">
        <f t="shared" si="39"/>
        <v>0</v>
      </c>
      <c r="O473" s="7">
        <f t="shared" si="40"/>
        <v>0</v>
      </c>
      <c r="P473" s="2">
        <f t="shared" si="41"/>
        <v>0</v>
      </c>
    </row>
    <row r="474" spans="1:16" x14ac:dyDescent="0.3">
      <c r="A474" s="19">
        <v>46520</v>
      </c>
      <c r="B474" s="7">
        <v>140000</v>
      </c>
      <c r="C474" s="7"/>
      <c r="D474" s="7"/>
      <c r="E474" s="7"/>
      <c r="F474" s="7"/>
      <c r="G474" s="7"/>
      <c r="H474" s="7"/>
      <c r="J474" s="7">
        <f t="shared" si="35"/>
        <v>1400000</v>
      </c>
      <c r="K474" s="7">
        <f t="shared" si="36"/>
        <v>0</v>
      </c>
      <c r="L474" s="7">
        <f t="shared" si="37"/>
        <v>0</v>
      </c>
      <c r="M474" s="7">
        <f t="shared" si="38"/>
        <v>0</v>
      </c>
      <c r="N474" s="7">
        <f t="shared" si="39"/>
        <v>0</v>
      </c>
      <c r="O474" s="7">
        <f t="shared" si="40"/>
        <v>0</v>
      </c>
      <c r="P474" s="2">
        <f t="shared" si="41"/>
        <v>0</v>
      </c>
    </row>
    <row r="475" spans="1:16" x14ac:dyDescent="0.3">
      <c r="A475" s="19">
        <v>46521</v>
      </c>
      <c r="B475" s="7">
        <v>140000</v>
      </c>
      <c r="C475" s="7"/>
      <c r="D475" s="7"/>
      <c r="E475" s="7"/>
      <c r="F475" s="7"/>
      <c r="G475" s="7"/>
      <c r="H475" s="7"/>
      <c r="J475" s="7">
        <f t="shared" si="35"/>
        <v>1400000</v>
      </c>
      <c r="K475" s="7">
        <f t="shared" si="36"/>
        <v>0</v>
      </c>
      <c r="L475" s="7">
        <f t="shared" si="37"/>
        <v>0</v>
      </c>
      <c r="M475" s="7">
        <f t="shared" si="38"/>
        <v>0</v>
      </c>
      <c r="N475" s="7">
        <f t="shared" si="39"/>
        <v>0</v>
      </c>
      <c r="O475" s="7">
        <f t="shared" si="40"/>
        <v>0</v>
      </c>
      <c r="P475" s="2">
        <f t="shared" si="41"/>
        <v>0</v>
      </c>
    </row>
    <row r="476" spans="1:16" x14ac:dyDescent="0.3">
      <c r="A476" s="19">
        <v>46522</v>
      </c>
      <c r="B476" s="7">
        <v>140000</v>
      </c>
      <c r="C476" s="7"/>
      <c r="D476" s="7"/>
      <c r="E476" s="7"/>
      <c r="F476" s="7"/>
      <c r="G476" s="7"/>
      <c r="H476" s="7"/>
      <c r="J476" s="7">
        <f t="shared" si="35"/>
        <v>1400000</v>
      </c>
      <c r="K476" s="7">
        <f t="shared" si="36"/>
        <v>0</v>
      </c>
      <c r="L476" s="7">
        <f t="shared" si="37"/>
        <v>0</v>
      </c>
      <c r="M476" s="7">
        <f t="shared" si="38"/>
        <v>0</v>
      </c>
      <c r="N476" s="7">
        <f t="shared" si="39"/>
        <v>0</v>
      </c>
      <c r="O476" s="7">
        <f t="shared" si="40"/>
        <v>0</v>
      </c>
      <c r="P476" s="2">
        <f t="shared" si="41"/>
        <v>0</v>
      </c>
    </row>
    <row r="477" spans="1:16" x14ac:dyDescent="0.3">
      <c r="A477" s="20">
        <v>46523</v>
      </c>
      <c r="B477" s="7"/>
      <c r="C477" s="7"/>
      <c r="D477" s="7"/>
      <c r="E477" s="7"/>
      <c r="F477" s="7"/>
      <c r="G477" s="7"/>
      <c r="H477" s="7"/>
      <c r="J477" s="7">
        <f t="shared" si="35"/>
        <v>0</v>
      </c>
      <c r="K477" s="7">
        <f t="shared" si="36"/>
        <v>0</v>
      </c>
      <c r="L477" s="7">
        <f t="shared" si="37"/>
        <v>0</v>
      </c>
      <c r="M477" s="7">
        <f t="shared" si="38"/>
        <v>0</v>
      </c>
      <c r="N477" s="7">
        <f t="shared" si="39"/>
        <v>0</v>
      </c>
      <c r="O477" s="7">
        <f t="shared" si="40"/>
        <v>0</v>
      </c>
      <c r="P477" s="2">
        <f t="shared" si="41"/>
        <v>0</v>
      </c>
    </row>
    <row r="478" spans="1:16" x14ac:dyDescent="0.3">
      <c r="A478" s="20">
        <v>46524</v>
      </c>
      <c r="B478" s="7"/>
      <c r="C478" s="7"/>
      <c r="D478" s="7"/>
      <c r="E478" s="7"/>
      <c r="F478" s="7"/>
      <c r="G478" s="7"/>
      <c r="H478" s="7"/>
      <c r="J478" s="7">
        <f t="shared" si="35"/>
        <v>0</v>
      </c>
      <c r="K478" s="7">
        <f t="shared" si="36"/>
        <v>0</v>
      </c>
      <c r="L478" s="7">
        <f t="shared" si="37"/>
        <v>0</v>
      </c>
      <c r="M478" s="7">
        <f t="shared" si="38"/>
        <v>0</v>
      </c>
      <c r="N478" s="7">
        <f t="shared" si="39"/>
        <v>0</v>
      </c>
      <c r="O478" s="7">
        <f t="shared" si="40"/>
        <v>0</v>
      </c>
      <c r="P478" s="2">
        <f t="shared" si="41"/>
        <v>0</v>
      </c>
    </row>
    <row r="479" spans="1:16" x14ac:dyDescent="0.3">
      <c r="A479" s="20">
        <v>46525</v>
      </c>
      <c r="J479" s="7">
        <f t="shared" si="35"/>
        <v>0</v>
      </c>
      <c r="K479" s="7">
        <f t="shared" si="36"/>
        <v>0</v>
      </c>
      <c r="L479" s="7">
        <f t="shared" si="37"/>
        <v>0</v>
      </c>
      <c r="M479" s="7">
        <f t="shared" si="38"/>
        <v>0</v>
      </c>
      <c r="N479" s="7">
        <f t="shared" si="39"/>
        <v>0</v>
      </c>
      <c r="O479" s="7">
        <f t="shared" si="40"/>
        <v>0</v>
      </c>
      <c r="P479" s="2">
        <f t="shared" si="41"/>
        <v>0</v>
      </c>
    </row>
    <row r="480" spans="1:16" x14ac:dyDescent="0.3">
      <c r="A480" s="20">
        <v>46526</v>
      </c>
      <c r="J480" s="7">
        <f t="shared" si="35"/>
        <v>0</v>
      </c>
      <c r="K480" s="7">
        <f t="shared" si="36"/>
        <v>0</v>
      </c>
      <c r="L480" s="7">
        <f t="shared" si="37"/>
        <v>0</v>
      </c>
      <c r="M480" s="7">
        <f t="shared" si="38"/>
        <v>0</v>
      </c>
      <c r="N480" s="7">
        <f t="shared" si="39"/>
        <v>0</v>
      </c>
      <c r="O480" s="7">
        <f t="shared" si="40"/>
        <v>0</v>
      </c>
      <c r="P480" s="2">
        <f t="shared" si="41"/>
        <v>0</v>
      </c>
    </row>
    <row r="481" spans="1:16" x14ac:dyDescent="0.3">
      <c r="A481" s="20">
        <v>46527</v>
      </c>
      <c r="J481" s="7">
        <f t="shared" si="35"/>
        <v>0</v>
      </c>
      <c r="K481" s="7">
        <f t="shared" si="36"/>
        <v>0</v>
      </c>
      <c r="L481" s="7">
        <f t="shared" si="37"/>
        <v>0</v>
      </c>
      <c r="M481" s="7">
        <f t="shared" si="38"/>
        <v>0</v>
      </c>
      <c r="N481" s="7">
        <f t="shared" si="39"/>
        <v>0</v>
      </c>
      <c r="O481" s="7">
        <f t="shared" si="40"/>
        <v>0</v>
      </c>
      <c r="P481" s="2">
        <f t="shared" si="41"/>
        <v>0</v>
      </c>
    </row>
    <row r="482" spans="1:16" x14ac:dyDescent="0.3">
      <c r="A482" s="19">
        <v>46528</v>
      </c>
      <c r="J482" s="7">
        <f t="shared" si="35"/>
        <v>0</v>
      </c>
      <c r="K482" s="7">
        <f t="shared" si="36"/>
        <v>0</v>
      </c>
      <c r="L482" s="7">
        <f t="shared" si="37"/>
        <v>0</v>
      </c>
      <c r="M482" s="7">
        <f t="shared" si="38"/>
        <v>0</v>
      </c>
      <c r="N482" s="7">
        <f t="shared" si="39"/>
        <v>0</v>
      </c>
      <c r="O482" s="7">
        <f t="shared" si="40"/>
        <v>0</v>
      </c>
      <c r="P482" s="2">
        <f t="shared" si="41"/>
        <v>0</v>
      </c>
    </row>
    <row r="483" spans="1:16" x14ac:dyDescent="0.3">
      <c r="A483" s="19">
        <v>46529</v>
      </c>
      <c r="J483" s="7">
        <f t="shared" si="35"/>
        <v>0</v>
      </c>
      <c r="K483" s="7">
        <f t="shared" si="36"/>
        <v>0</v>
      </c>
      <c r="L483" s="7">
        <f t="shared" si="37"/>
        <v>0</v>
      </c>
      <c r="M483" s="7">
        <f t="shared" si="38"/>
        <v>0</v>
      </c>
      <c r="N483" s="7">
        <f t="shared" si="39"/>
        <v>0</v>
      </c>
      <c r="O483" s="7">
        <f t="shared" si="40"/>
        <v>0</v>
      </c>
      <c r="P483" s="2">
        <f t="shared" si="41"/>
        <v>0</v>
      </c>
    </row>
    <row r="484" spans="1:16" x14ac:dyDescent="0.3">
      <c r="A484" s="20">
        <v>46530</v>
      </c>
      <c r="J484" s="7">
        <f t="shared" si="35"/>
        <v>0</v>
      </c>
      <c r="K484" s="7">
        <f t="shared" si="36"/>
        <v>0</v>
      </c>
      <c r="L484" s="7">
        <f t="shared" si="37"/>
        <v>0</v>
      </c>
      <c r="M484" s="7">
        <f t="shared" si="38"/>
        <v>0</v>
      </c>
      <c r="N484" s="7">
        <f t="shared" si="39"/>
        <v>0</v>
      </c>
      <c r="O484" s="7">
        <f t="shared" si="40"/>
        <v>0</v>
      </c>
      <c r="P484" s="2">
        <f t="shared" si="41"/>
        <v>0</v>
      </c>
    </row>
    <row r="485" spans="1:16" x14ac:dyDescent="0.3">
      <c r="A485" s="20">
        <v>46531</v>
      </c>
      <c r="J485" s="7">
        <f t="shared" si="35"/>
        <v>0</v>
      </c>
      <c r="K485" s="7">
        <f t="shared" si="36"/>
        <v>0</v>
      </c>
      <c r="L485" s="7">
        <f t="shared" si="37"/>
        <v>0</v>
      </c>
      <c r="M485" s="7">
        <f t="shared" si="38"/>
        <v>0</v>
      </c>
      <c r="N485" s="7">
        <f t="shared" si="39"/>
        <v>0</v>
      </c>
      <c r="O485" s="7">
        <f t="shared" si="40"/>
        <v>0</v>
      </c>
      <c r="P485" s="2">
        <f t="shared" si="41"/>
        <v>0</v>
      </c>
    </row>
    <row r="486" spans="1:16" x14ac:dyDescent="0.3">
      <c r="A486" s="20">
        <v>46532</v>
      </c>
      <c r="J486" s="7">
        <f t="shared" si="35"/>
        <v>0</v>
      </c>
      <c r="K486" s="7">
        <f t="shared" si="36"/>
        <v>0</v>
      </c>
      <c r="L486" s="7">
        <f t="shared" si="37"/>
        <v>0</v>
      </c>
      <c r="M486" s="7">
        <f t="shared" si="38"/>
        <v>0</v>
      </c>
      <c r="N486" s="7">
        <f t="shared" si="39"/>
        <v>0</v>
      </c>
      <c r="O486" s="7">
        <f t="shared" si="40"/>
        <v>0</v>
      </c>
      <c r="P486" s="2">
        <f t="shared" si="41"/>
        <v>0</v>
      </c>
    </row>
    <row r="487" spans="1:16" x14ac:dyDescent="0.3">
      <c r="A487" s="20">
        <v>46533</v>
      </c>
      <c r="J487" s="7">
        <f t="shared" si="35"/>
        <v>0</v>
      </c>
      <c r="K487" s="7">
        <f t="shared" si="36"/>
        <v>0</v>
      </c>
      <c r="L487" s="7">
        <f t="shared" si="37"/>
        <v>0</v>
      </c>
      <c r="M487" s="7">
        <f t="shared" si="38"/>
        <v>0</v>
      </c>
      <c r="N487" s="7">
        <f t="shared" si="39"/>
        <v>0</v>
      </c>
      <c r="O487" s="7">
        <f t="shared" si="40"/>
        <v>0</v>
      </c>
      <c r="P487" s="2">
        <f t="shared" si="41"/>
        <v>0</v>
      </c>
    </row>
    <row r="488" spans="1:16" x14ac:dyDescent="0.3">
      <c r="A488" s="20">
        <v>46534</v>
      </c>
      <c r="J488" s="7">
        <f t="shared" si="35"/>
        <v>0</v>
      </c>
      <c r="K488" s="7">
        <f t="shared" si="36"/>
        <v>0</v>
      </c>
      <c r="L488" s="7">
        <f t="shared" si="37"/>
        <v>0</v>
      </c>
      <c r="M488" s="7">
        <f t="shared" si="38"/>
        <v>0</v>
      </c>
      <c r="N488" s="7">
        <f t="shared" si="39"/>
        <v>0</v>
      </c>
      <c r="O488" s="7">
        <f t="shared" si="40"/>
        <v>0</v>
      </c>
      <c r="P488" s="2">
        <f t="shared" si="41"/>
        <v>0</v>
      </c>
    </row>
    <row r="489" spans="1:16" x14ac:dyDescent="0.3">
      <c r="A489" s="19">
        <v>46535</v>
      </c>
      <c r="J489" s="7">
        <f t="shared" si="35"/>
        <v>0</v>
      </c>
      <c r="K489" s="7">
        <f t="shared" si="36"/>
        <v>0</v>
      </c>
      <c r="L489" s="7">
        <f t="shared" si="37"/>
        <v>0</v>
      </c>
      <c r="M489" s="7">
        <f t="shared" si="38"/>
        <v>0</v>
      </c>
      <c r="N489" s="7">
        <f t="shared" si="39"/>
        <v>0</v>
      </c>
      <c r="O489" s="7">
        <f t="shared" si="40"/>
        <v>0</v>
      </c>
      <c r="P489" s="2">
        <f t="shared" si="41"/>
        <v>0</v>
      </c>
    </row>
    <row r="490" spans="1:16" x14ac:dyDescent="0.3">
      <c r="A490" s="19">
        <v>46536</v>
      </c>
      <c r="J490" s="7">
        <f t="shared" si="35"/>
        <v>0</v>
      </c>
      <c r="K490" s="7">
        <f t="shared" si="36"/>
        <v>0</v>
      </c>
      <c r="L490" s="7">
        <f t="shared" si="37"/>
        <v>0</v>
      </c>
      <c r="M490" s="7">
        <f t="shared" si="38"/>
        <v>0</v>
      </c>
      <c r="N490" s="7">
        <f t="shared" si="39"/>
        <v>0</v>
      </c>
      <c r="O490" s="7">
        <f t="shared" si="40"/>
        <v>0</v>
      </c>
      <c r="P490" s="2">
        <f t="shared" si="41"/>
        <v>0</v>
      </c>
    </row>
    <row r="491" spans="1:16" x14ac:dyDescent="0.3">
      <c r="A491" s="20">
        <v>46537</v>
      </c>
      <c r="J491" s="7">
        <f t="shared" si="35"/>
        <v>0</v>
      </c>
      <c r="K491" s="7">
        <f t="shared" si="36"/>
        <v>0</v>
      </c>
      <c r="L491" s="7">
        <f t="shared" si="37"/>
        <v>0</v>
      </c>
      <c r="M491" s="7">
        <f t="shared" si="38"/>
        <v>0</v>
      </c>
      <c r="N491" s="7">
        <f t="shared" si="39"/>
        <v>0</v>
      </c>
      <c r="O491" s="7">
        <f t="shared" si="40"/>
        <v>0</v>
      </c>
      <c r="P491" s="2">
        <f t="shared" si="41"/>
        <v>0</v>
      </c>
    </row>
    <row r="492" spans="1:16" x14ac:dyDescent="0.3">
      <c r="A492" s="20">
        <v>46538</v>
      </c>
      <c r="J492" s="7">
        <f t="shared" si="35"/>
        <v>0</v>
      </c>
      <c r="K492" s="7">
        <f t="shared" si="36"/>
        <v>0</v>
      </c>
      <c r="L492" s="7">
        <f t="shared" si="37"/>
        <v>0</v>
      </c>
      <c r="M492" s="7">
        <f t="shared" si="38"/>
        <v>0</v>
      </c>
      <c r="N492" s="7">
        <f t="shared" si="39"/>
        <v>0</v>
      </c>
      <c r="O492" s="7">
        <f t="shared" si="40"/>
        <v>0</v>
      </c>
      <c r="P492" s="2">
        <f t="shared" si="41"/>
        <v>0</v>
      </c>
    </row>
    <row r="493" spans="1:16" x14ac:dyDescent="0.3">
      <c r="A493" s="20"/>
      <c r="J493" s="7">
        <f t="shared" si="35"/>
        <v>0</v>
      </c>
      <c r="K493" s="7">
        <f t="shared" si="36"/>
        <v>0</v>
      </c>
      <c r="L493" s="7">
        <f t="shared" si="37"/>
        <v>0</v>
      </c>
      <c r="M493" s="7">
        <f t="shared" si="38"/>
        <v>0</v>
      </c>
      <c r="N493" s="7">
        <f t="shared" si="39"/>
        <v>0</v>
      </c>
      <c r="O493" s="7">
        <f t="shared" si="40"/>
        <v>0</v>
      </c>
      <c r="P493" s="2">
        <f t="shared" si="41"/>
        <v>0</v>
      </c>
    </row>
    <row r="494" spans="1:16" x14ac:dyDescent="0.3">
      <c r="A494" s="20"/>
      <c r="J494" s="7">
        <f t="shared" si="35"/>
        <v>0</v>
      </c>
      <c r="K494" s="7">
        <f t="shared" si="36"/>
        <v>0</v>
      </c>
      <c r="L494" s="7">
        <f t="shared" si="37"/>
        <v>0</v>
      </c>
      <c r="M494" s="7">
        <f t="shared" si="38"/>
        <v>0</v>
      </c>
      <c r="N494" s="7">
        <f t="shared" si="39"/>
        <v>0</v>
      </c>
      <c r="O494" s="7">
        <f t="shared" si="40"/>
        <v>0</v>
      </c>
      <c r="P494" s="2">
        <f t="shared" si="41"/>
        <v>0</v>
      </c>
    </row>
    <row r="495" spans="1:16" x14ac:dyDescent="0.3">
      <c r="A495" s="20"/>
      <c r="J495" s="7">
        <f t="shared" si="35"/>
        <v>0</v>
      </c>
      <c r="K495" s="7">
        <f t="shared" si="36"/>
        <v>0</v>
      </c>
      <c r="L495" s="7">
        <f t="shared" si="37"/>
        <v>0</v>
      </c>
      <c r="M495" s="7">
        <f t="shared" si="38"/>
        <v>0</v>
      </c>
      <c r="N495" s="7">
        <f t="shared" si="39"/>
        <v>0</v>
      </c>
      <c r="O495" s="7">
        <f t="shared" si="40"/>
        <v>0</v>
      </c>
      <c r="P495" s="2">
        <f t="shared" si="41"/>
        <v>0</v>
      </c>
    </row>
    <row r="496" spans="1:16" x14ac:dyDescent="0.3">
      <c r="A496" s="20"/>
      <c r="J496" s="7">
        <f t="shared" si="35"/>
        <v>0</v>
      </c>
      <c r="K496" s="7">
        <f t="shared" si="36"/>
        <v>0</v>
      </c>
      <c r="L496" s="7">
        <f t="shared" si="37"/>
        <v>0</v>
      </c>
      <c r="M496" s="7">
        <f t="shared" si="38"/>
        <v>0</v>
      </c>
      <c r="N496" s="7">
        <f t="shared" si="39"/>
        <v>0</v>
      </c>
      <c r="O496" s="7">
        <f t="shared" si="40"/>
        <v>0</v>
      </c>
      <c r="P496" s="2">
        <f t="shared" si="41"/>
        <v>0</v>
      </c>
    </row>
    <row r="497" spans="1:16" x14ac:dyDescent="0.3">
      <c r="A497" s="20"/>
      <c r="J497" s="7">
        <f t="shared" si="35"/>
        <v>0</v>
      </c>
      <c r="K497" s="7">
        <f t="shared" si="36"/>
        <v>0</v>
      </c>
      <c r="L497" s="7">
        <f t="shared" si="37"/>
        <v>0</v>
      </c>
      <c r="M497" s="7">
        <f t="shared" si="38"/>
        <v>0</v>
      </c>
      <c r="N497" s="7">
        <f t="shared" si="39"/>
        <v>0</v>
      </c>
      <c r="O497" s="7">
        <f t="shared" si="40"/>
        <v>0</v>
      </c>
      <c r="P497" s="2">
        <f t="shared" si="41"/>
        <v>0</v>
      </c>
    </row>
    <row r="498" spans="1:16" x14ac:dyDescent="0.3">
      <c r="A498" s="20"/>
      <c r="J498" s="7">
        <f t="shared" si="35"/>
        <v>0</v>
      </c>
      <c r="K498" s="7">
        <f t="shared" si="36"/>
        <v>0</v>
      </c>
      <c r="L498" s="7">
        <f t="shared" si="37"/>
        <v>0</v>
      </c>
      <c r="M498" s="7">
        <f t="shared" si="38"/>
        <v>0</v>
      </c>
      <c r="N498" s="7">
        <f t="shared" si="39"/>
        <v>0</v>
      </c>
      <c r="O498" s="7">
        <f t="shared" si="40"/>
        <v>0</v>
      </c>
      <c r="P498" s="2">
        <f t="shared" si="41"/>
        <v>0</v>
      </c>
    </row>
    <row r="499" spans="1:16" x14ac:dyDescent="0.3">
      <c r="A499" s="20"/>
      <c r="J499" s="7">
        <f t="shared" si="35"/>
        <v>0</v>
      </c>
      <c r="K499" s="7">
        <f t="shared" si="36"/>
        <v>0</v>
      </c>
      <c r="L499" s="7">
        <f t="shared" si="37"/>
        <v>0</v>
      </c>
      <c r="M499" s="7">
        <f t="shared" si="38"/>
        <v>0</v>
      </c>
      <c r="N499" s="7">
        <f t="shared" si="39"/>
        <v>0</v>
      </c>
      <c r="O499" s="7">
        <f t="shared" si="40"/>
        <v>0</v>
      </c>
      <c r="P499" s="2">
        <f t="shared" si="41"/>
        <v>0</v>
      </c>
    </row>
    <row r="500" spans="1:16" x14ac:dyDescent="0.3">
      <c r="A500" s="20"/>
      <c r="J500" s="7">
        <f t="shared" si="35"/>
        <v>0</v>
      </c>
      <c r="K500" s="7">
        <f t="shared" si="36"/>
        <v>0</v>
      </c>
      <c r="L500" s="7">
        <f t="shared" si="37"/>
        <v>0</v>
      </c>
      <c r="M500" s="7">
        <f t="shared" si="38"/>
        <v>0</v>
      </c>
      <c r="N500" s="7">
        <f t="shared" si="39"/>
        <v>0</v>
      </c>
      <c r="O500" s="7">
        <f t="shared" si="40"/>
        <v>0</v>
      </c>
      <c r="P500" s="2">
        <f t="shared" si="41"/>
        <v>0</v>
      </c>
    </row>
    <row r="501" spans="1:16" x14ac:dyDescent="0.3">
      <c r="A501" s="20"/>
      <c r="J501" s="7">
        <f t="shared" si="35"/>
        <v>0</v>
      </c>
      <c r="K501" s="7">
        <f t="shared" si="36"/>
        <v>0</v>
      </c>
      <c r="L501" s="7">
        <f t="shared" si="37"/>
        <v>0</v>
      </c>
      <c r="M501" s="7">
        <f t="shared" si="38"/>
        <v>0</v>
      </c>
      <c r="N501" s="7">
        <f t="shared" si="39"/>
        <v>0</v>
      </c>
      <c r="O501" s="7">
        <f t="shared" si="40"/>
        <v>0</v>
      </c>
      <c r="P501" s="2">
        <f t="shared" si="41"/>
        <v>0</v>
      </c>
    </row>
    <row r="502" spans="1:16" x14ac:dyDescent="0.3">
      <c r="A502" s="20"/>
      <c r="J502" s="7">
        <f t="shared" si="35"/>
        <v>0</v>
      </c>
      <c r="K502" s="7">
        <f t="shared" si="36"/>
        <v>0</v>
      </c>
      <c r="L502" s="7">
        <f t="shared" si="37"/>
        <v>0</v>
      </c>
      <c r="M502" s="7">
        <f t="shared" si="38"/>
        <v>0</v>
      </c>
      <c r="N502" s="7">
        <f t="shared" si="39"/>
        <v>0</v>
      </c>
      <c r="O502" s="7">
        <f t="shared" si="40"/>
        <v>0</v>
      </c>
      <c r="P502" s="2">
        <f t="shared" si="41"/>
        <v>0</v>
      </c>
    </row>
    <row r="503" spans="1:16" x14ac:dyDescent="0.3">
      <c r="A503" s="20"/>
      <c r="J503" s="7">
        <f t="shared" si="35"/>
        <v>0</v>
      </c>
      <c r="K503" s="7">
        <f t="shared" si="36"/>
        <v>0</v>
      </c>
      <c r="L503" s="7">
        <f t="shared" si="37"/>
        <v>0</v>
      </c>
      <c r="M503" s="7">
        <f t="shared" si="38"/>
        <v>0</v>
      </c>
      <c r="N503" s="7">
        <f t="shared" si="39"/>
        <v>0</v>
      </c>
      <c r="O503" s="7">
        <f t="shared" si="40"/>
        <v>0</v>
      </c>
      <c r="P503" s="2">
        <f t="shared" si="41"/>
        <v>0</v>
      </c>
    </row>
    <row r="504" spans="1:16" x14ac:dyDescent="0.3">
      <c r="A504" s="20"/>
      <c r="J504" s="7">
        <f t="shared" si="35"/>
        <v>0</v>
      </c>
      <c r="K504" s="7">
        <f t="shared" si="36"/>
        <v>0</v>
      </c>
      <c r="L504" s="7">
        <f t="shared" si="37"/>
        <v>0</v>
      </c>
      <c r="M504" s="7">
        <f t="shared" si="38"/>
        <v>0</v>
      </c>
      <c r="N504" s="7">
        <f t="shared" si="39"/>
        <v>0</v>
      </c>
      <c r="O504" s="7">
        <f t="shared" si="40"/>
        <v>0</v>
      </c>
      <c r="P504" s="2">
        <f t="shared" si="41"/>
        <v>0</v>
      </c>
    </row>
    <row r="505" spans="1:16" x14ac:dyDescent="0.3">
      <c r="A505" s="20"/>
      <c r="J505" s="7">
        <f t="shared" si="35"/>
        <v>0</v>
      </c>
      <c r="K505" s="7">
        <f t="shared" si="36"/>
        <v>0</v>
      </c>
      <c r="L505" s="7">
        <f t="shared" si="37"/>
        <v>0</v>
      </c>
      <c r="M505" s="7">
        <f t="shared" si="38"/>
        <v>0</v>
      </c>
      <c r="N505" s="7">
        <f t="shared" si="39"/>
        <v>0</v>
      </c>
      <c r="O505" s="7">
        <f t="shared" si="40"/>
        <v>0</v>
      </c>
      <c r="P505" s="2">
        <f t="shared" si="41"/>
        <v>0</v>
      </c>
    </row>
    <row r="506" spans="1:16" x14ac:dyDescent="0.3">
      <c r="A506" s="20"/>
      <c r="J506" s="7">
        <f t="shared" si="35"/>
        <v>0</v>
      </c>
      <c r="K506" s="7">
        <f t="shared" si="36"/>
        <v>0</v>
      </c>
      <c r="L506" s="7">
        <f t="shared" si="37"/>
        <v>0</v>
      </c>
      <c r="M506" s="7">
        <f t="shared" si="38"/>
        <v>0</v>
      </c>
      <c r="N506" s="7">
        <f t="shared" si="39"/>
        <v>0</v>
      </c>
      <c r="O506" s="7">
        <f t="shared" si="40"/>
        <v>0</v>
      </c>
      <c r="P506" s="2">
        <f t="shared" si="41"/>
        <v>0</v>
      </c>
    </row>
    <row r="507" spans="1:16" x14ac:dyDescent="0.3">
      <c r="A507" s="20"/>
      <c r="J507" s="7">
        <f t="shared" si="35"/>
        <v>0</v>
      </c>
      <c r="K507" s="7">
        <f t="shared" si="36"/>
        <v>0</v>
      </c>
      <c r="L507" s="7">
        <f t="shared" si="37"/>
        <v>0</v>
      </c>
      <c r="M507" s="7">
        <f t="shared" si="38"/>
        <v>0</v>
      </c>
      <c r="N507" s="7">
        <f t="shared" si="39"/>
        <v>0</v>
      </c>
      <c r="O507" s="7">
        <f t="shared" si="40"/>
        <v>0</v>
      </c>
      <c r="P507" s="2">
        <f t="shared" si="41"/>
        <v>0</v>
      </c>
    </row>
    <row r="508" spans="1:16" x14ac:dyDescent="0.3">
      <c r="A508" s="20"/>
      <c r="J508" s="7">
        <f t="shared" si="35"/>
        <v>0</v>
      </c>
      <c r="K508" s="7">
        <f t="shared" si="36"/>
        <v>0</v>
      </c>
      <c r="L508" s="7">
        <f t="shared" si="37"/>
        <v>0</v>
      </c>
      <c r="M508" s="7">
        <f t="shared" si="38"/>
        <v>0</v>
      </c>
      <c r="N508" s="7">
        <f t="shared" si="39"/>
        <v>0</v>
      </c>
      <c r="O508" s="7">
        <f t="shared" si="40"/>
        <v>0</v>
      </c>
      <c r="P508" s="2">
        <f t="shared" si="41"/>
        <v>0</v>
      </c>
    </row>
    <row r="509" spans="1:16" x14ac:dyDescent="0.3">
      <c r="A509" s="20"/>
      <c r="J509" s="7">
        <f t="shared" si="35"/>
        <v>0</v>
      </c>
      <c r="K509" s="7">
        <f t="shared" si="36"/>
        <v>0</v>
      </c>
      <c r="L509" s="7">
        <f t="shared" si="37"/>
        <v>0</v>
      </c>
      <c r="M509" s="7">
        <f t="shared" si="38"/>
        <v>0</v>
      </c>
      <c r="N509" s="7">
        <f t="shared" si="39"/>
        <v>0</v>
      </c>
      <c r="O509" s="7">
        <f t="shared" si="40"/>
        <v>0</v>
      </c>
      <c r="P509" s="2">
        <f t="shared" si="41"/>
        <v>0</v>
      </c>
    </row>
    <row r="510" spans="1:16" x14ac:dyDescent="0.3">
      <c r="A510" s="20"/>
      <c r="J510" s="7">
        <f t="shared" si="35"/>
        <v>0</v>
      </c>
      <c r="K510" s="7">
        <f t="shared" si="36"/>
        <v>0</v>
      </c>
      <c r="L510" s="7">
        <f t="shared" si="37"/>
        <v>0</v>
      </c>
      <c r="M510" s="7">
        <f t="shared" si="38"/>
        <v>0</v>
      </c>
      <c r="N510" s="7">
        <f t="shared" si="39"/>
        <v>0</v>
      </c>
      <c r="O510" s="7">
        <f t="shared" si="40"/>
        <v>0</v>
      </c>
      <c r="P510" s="2">
        <f t="shared" si="41"/>
        <v>0</v>
      </c>
    </row>
    <row r="511" spans="1:16" x14ac:dyDescent="0.3">
      <c r="A511" s="20"/>
      <c r="J511" s="7">
        <f t="shared" si="35"/>
        <v>0</v>
      </c>
      <c r="K511" s="7">
        <f t="shared" si="36"/>
        <v>0</v>
      </c>
      <c r="L511" s="7">
        <f t="shared" si="37"/>
        <v>0</v>
      </c>
      <c r="M511" s="7">
        <f t="shared" si="38"/>
        <v>0</v>
      </c>
      <c r="N511" s="7">
        <f t="shared" si="39"/>
        <v>0</v>
      </c>
      <c r="O511" s="7">
        <f t="shared" si="40"/>
        <v>0</v>
      </c>
      <c r="P511" s="2">
        <f t="shared" si="41"/>
        <v>0</v>
      </c>
    </row>
    <row r="512" spans="1:16" x14ac:dyDescent="0.3">
      <c r="A512" s="20"/>
      <c r="J512" s="7">
        <f t="shared" si="35"/>
        <v>0</v>
      </c>
      <c r="K512" s="7">
        <f t="shared" si="36"/>
        <v>0</v>
      </c>
      <c r="L512" s="7">
        <f t="shared" si="37"/>
        <v>0</v>
      </c>
      <c r="M512" s="7">
        <f t="shared" si="38"/>
        <v>0</v>
      </c>
      <c r="N512" s="7">
        <f t="shared" si="39"/>
        <v>0</v>
      </c>
      <c r="O512" s="7">
        <f t="shared" si="40"/>
        <v>0</v>
      </c>
      <c r="P512" s="2">
        <f t="shared" si="41"/>
        <v>0</v>
      </c>
    </row>
    <row r="513" spans="1:16" x14ac:dyDescent="0.3">
      <c r="A513" s="20"/>
      <c r="J513" s="7">
        <f t="shared" si="35"/>
        <v>0</v>
      </c>
      <c r="K513" s="7">
        <f t="shared" si="36"/>
        <v>0</v>
      </c>
      <c r="L513" s="7">
        <f t="shared" si="37"/>
        <v>0</v>
      </c>
      <c r="M513" s="7">
        <f t="shared" si="38"/>
        <v>0</v>
      </c>
      <c r="N513" s="7">
        <f t="shared" si="39"/>
        <v>0</v>
      </c>
      <c r="O513" s="7">
        <f t="shared" si="40"/>
        <v>0</v>
      </c>
      <c r="P513" s="2">
        <f t="shared" si="41"/>
        <v>0</v>
      </c>
    </row>
    <row r="514" spans="1:16" x14ac:dyDescent="0.3">
      <c r="A514" s="20"/>
      <c r="J514" s="7">
        <f t="shared" si="35"/>
        <v>0</v>
      </c>
      <c r="K514" s="7">
        <f t="shared" si="36"/>
        <v>0</v>
      </c>
      <c r="L514" s="7">
        <f t="shared" si="37"/>
        <v>0</v>
      </c>
      <c r="M514" s="7">
        <f t="shared" si="38"/>
        <v>0</v>
      </c>
      <c r="N514" s="7">
        <f t="shared" si="39"/>
        <v>0</v>
      </c>
      <c r="O514" s="7">
        <f t="shared" si="40"/>
        <v>0</v>
      </c>
      <c r="P514" s="2">
        <f t="shared" si="41"/>
        <v>0</v>
      </c>
    </row>
    <row r="515" spans="1:16" x14ac:dyDescent="0.3">
      <c r="A515" s="20"/>
      <c r="J515" s="7">
        <f t="shared" si="35"/>
        <v>0</v>
      </c>
      <c r="K515" s="7">
        <f t="shared" si="36"/>
        <v>0</v>
      </c>
      <c r="L515" s="7">
        <f t="shared" si="37"/>
        <v>0</v>
      </c>
      <c r="M515" s="7">
        <f t="shared" si="38"/>
        <v>0</v>
      </c>
      <c r="N515" s="7">
        <f t="shared" si="39"/>
        <v>0</v>
      </c>
      <c r="O515" s="7">
        <f t="shared" si="40"/>
        <v>0</v>
      </c>
      <c r="P515" s="2">
        <f t="shared" si="41"/>
        <v>0</v>
      </c>
    </row>
    <row r="516" spans="1:16" x14ac:dyDescent="0.3">
      <c r="A516" s="20"/>
      <c r="J516" s="7">
        <f t="shared" si="35"/>
        <v>0</v>
      </c>
      <c r="K516" s="7">
        <f t="shared" si="36"/>
        <v>0</v>
      </c>
      <c r="L516" s="7">
        <f t="shared" si="37"/>
        <v>0</v>
      </c>
      <c r="M516" s="7">
        <f t="shared" si="38"/>
        <v>0</v>
      </c>
      <c r="N516" s="7">
        <f t="shared" si="39"/>
        <v>0</v>
      </c>
      <c r="O516" s="7">
        <f t="shared" si="40"/>
        <v>0</v>
      </c>
      <c r="P516" s="2">
        <f t="shared" si="41"/>
        <v>0</v>
      </c>
    </row>
    <row r="517" spans="1:16" x14ac:dyDescent="0.3">
      <c r="A517" s="20"/>
      <c r="J517" s="7">
        <f t="shared" si="35"/>
        <v>0</v>
      </c>
      <c r="K517" s="7">
        <f t="shared" si="36"/>
        <v>0</v>
      </c>
      <c r="L517" s="7">
        <f t="shared" si="37"/>
        <v>0</v>
      </c>
      <c r="M517" s="7">
        <f t="shared" si="38"/>
        <v>0</v>
      </c>
      <c r="N517" s="7">
        <f t="shared" si="39"/>
        <v>0</v>
      </c>
      <c r="O517" s="7">
        <f t="shared" si="40"/>
        <v>0</v>
      </c>
      <c r="P517" s="2">
        <f t="shared" si="41"/>
        <v>0</v>
      </c>
    </row>
    <row r="518" spans="1:16" x14ac:dyDescent="0.3">
      <c r="A518" s="20"/>
      <c r="J518" s="7">
        <f t="shared" si="35"/>
        <v>0</v>
      </c>
      <c r="K518" s="7">
        <f t="shared" si="36"/>
        <v>0</v>
      </c>
      <c r="L518" s="7">
        <f t="shared" si="37"/>
        <v>0</v>
      </c>
      <c r="M518" s="7">
        <f t="shared" si="38"/>
        <v>0</v>
      </c>
      <c r="N518" s="7">
        <f t="shared" si="39"/>
        <v>0</v>
      </c>
      <c r="O518" s="7">
        <f t="shared" si="40"/>
        <v>0</v>
      </c>
      <c r="P518" s="2">
        <f t="shared" si="41"/>
        <v>0</v>
      </c>
    </row>
    <row r="519" spans="1:16" x14ac:dyDescent="0.3">
      <c r="A519" s="20"/>
      <c r="J519" s="7">
        <f t="shared" si="35"/>
        <v>0</v>
      </c>
      <c r="K519" s="7">
        <f t="shared" si="36"/>
        <v>0</v>
      </c>
      <c r="L519" s="7">
        <f t="shared" si="37"/>
        <v>0</v>
      </c>
      <c r="M519" s="7">
        <f t="shared" si="38"/>
        <v>0</v>
      </c>
      <c r="N519" s="7">
        <f t="shared" si="39"/>
        <v>0</v>
      </c>
      <c r="O519" s="7">
        <f t="shared" si="40"/>
        <v>0</v>
      </c>
      <c r="P519" s="2">
        <f t="shared" si="41"/>
        <v>0</v>
      </c>
    </row>
    <row r="520" spans="1:16" x14ac:dyDescent="0.3">
      <c r="A520" s="20"/>
      <c r="J520" s="7">
        <f t="shared" si="35"/>
        <v>0</v>
      </c>
      <c r="K520" s="7">
        <f t="shared" si="36"/>
        <v>0</v>
      </c>
      <c r="L520" s="7">
        <f t="shared" si="37"/>
        <v>0</v>
      </c>
      <c r="M520" s="7">
        <f t="shared" si="38"/>
        <v>0</v>
      </c>
      <c r="N520" s="7">
        <f t="shared" si="39"/>
        <v>0</v>
      </c>
      <c r="O520" s="7">
        <f t="shared" si="40"/>
        <v>0</v>
      </c>
      <c r="P520" s="2">
        <f t="shared" si="41"/>
        <v>0</v>
      </c>
    </row>
    <row r="521" spans="1:16" x14ac:dyDescent="0.3">
      <c r="A521" s="20"/>
    </row>
    <row r="522" spans="1:16" x14ac:dyDescent="0.3">
      <c r="A522" s="20"/>
    </row>
    <row r="523" spans="1:16" x14ac:dyDescent="0.3">
      <c r="A523" s="20"/>
    </row>
    <row r="524" spans="1:16" x14ac:dyDescent="0.3">
      <c r="A524" s="20"/>
    </row>
    <row r="525" spans="1:16" x14ac:dyDescent="0.3">
      <c r="A525" s="20"/>
    </row>
    <row r="526" spans="1:16" x14ac:dyDescent="0.3">
      <c r="A526" s="20"/>
    </row>
    <row r="527" spans="1:16" x14ac:dyDescent="0.3">
      <c r="A527" s="20"/>
    </row>
    <row r="528" spans="1:16" x14ac:dyDescent="0.3">
      <c r="A528" s="20"/>
    </row>
    <row r="529" spans="1:1" x14ac:dyDescent="0.3">
      <c r="A529" s="20"/>
    </row>
    <row r="530" spans="1:1" x14ac:dyDescent="0.3">
      <c r="A530" s="20"/>
    </row>
    <row r="531" spans="1:1" x14ac:dyDescent="0.3">
      <c r="A531" s="20"/>
    </row>
    <row r="532" spans="1:1" x14ac:dyDescent="0.3">
      <c r="A532" s="20"/>
    </row>
    <row r="533" spans="1:1" x14ac:dyDescent="0.3">
      <c r="A533" s="20"/>
    </row>
    <row r="534" spans="1:1" x14ac:dyDescent="0.3">
      <c r="A534" s="20"/>
    </row>
    <row r="535" spans="1:1" x14ac:dyDescent="0.3">
      <c r="A535" s="20"/>
    </row>
    <row r="536" spans="1:1" x14ac:dyDescent="0.3">
      <c r="A536" s="20"/>
    </row>
    <row r="537" spans="1:1" x14ac:dyDescent="0.3">
      <c r="A537" s="20"/>
    </row>
    <row r="538" spans="1:1" x14ac:dyDescent="0.3">
      <c r="A538" s="20"/>
    </row>
    <row r="539" spans="1:1" x14ac:dyDescent="0.3">
      <c r="A539" s="20"/>
    </row>
    <row r="540" spans="1:1" x14ac:dyDescent="0.3">
      <c r="A540" s="20"/>
    </row>
    <row r="541" spans="1:1" x14ac:dyDescent="0.3">
      <c r="A541" s="20"/>
    </row>
    <row r="542" spans="1:1" x14ac:dyDescent="0.3">
      <c r="A542" s="20"/>
    </row>
    <row r="543" spans="1:1" x14ac:dyDescent="0.3">
      <c r="A543" s="20"/>
    </row>
    <row r="544" spans="1:1" x14ac:dyDescent="0.3">
      <c r="A544" s="20"/>
    </row>
    <row r="545" spans="1:1" x14ac:dyDescent="0.3">
      <c r="A545" s="20"/>
    </row>
    <row r="546" spans="1:1" x14ac:dyDescent="0.3">
      <c r="A546" s="20"/>
    </row>
    <row r="547" spans="1:1" x14ac:dyDescent="0.3">
      <c r="A547" s="20"/>
    </row>
    <row r="548" spans="1:1" x14ac:dyDescent="0.3">
      <c r="A548" s="20"/>
    </row>
    <row r="549" spans="1:1" x14ac:dyDescent="0.3">
      <c r="A549" s="20"/>
    </row>
    <row r="550" spans="1:1" x14ac:dyDescent="0.3">
      <c r="A550" s="20"/>
    </row>
    <row r="551" spans="1:1" x14ac:dyDescent="0.3">
      <c r="A551" s="20"/>
    </row>
    <row r="552" spans="1:1" x14ac:dyDescent="0.3">
      <c r="A552" s="20"/>
    </row>
    <row r="553" spans="1:1" x14ac:dyDescent="0.3">
      <c r="A553" s="20"/>
    </row>
    <row r="554" spans="1:1" x14ac:dyDescent="0.3">
      <c r="A554" s="20"/>
    </row>
    <row r="555" spans="1:1" x14ac:dyDescent="0.3">
      <c r="A555" s="20"/>
    </row>
  </sheetData>
  <autoFilter ref="A1:H1" xr:uid="{00000000-0001-0000-0000-000000000000}"/>
  <phoneticPr fontId="3" type="noConversion"/>
  <pageMargins left="0.75" right="0.75" top="1" bottom="1" header="0.5" footer="0.5"/>
  <pageSetup paperSize="9" orientation="portrait" horizontalDpi="200" verticalDpi="2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ECA8C-2A49-4B51-BF90-2B13424578B4}">
  <dimension ref="B4:K7"/>
  <sheetViews>
    <sheetView workbookViewId="0">
      <selection activeCell="E7" sqref="E7"/>
    </sheetView>
  </sheetViews>
  <sheetFormatPr defaultRowHeight="16.5" x14ac:dyDescent="0.3"/>
  <cols>
    <col min="2" max="2" width="10.875" style="9" bestFit="1" customWidth="1"/>
    <col min="3" max="3" width="9" style="9"/>
    <col min="4" max="4" width="11.875" style="9" customWidth="1"/>
    <col min="5" max="5" width="11.875" bestFit="1" customWidth="1"/>
    <col min="9" max="9" width="9.375" style="7" bestFit="1" customWidth="1"/>
    <col min="10" max="10" width="9.375" style="12" bestFit="1" customWidth="1"/>
    <col min="11" max="11" width="9.375" style="7" bestFit="1" customWidth="1"/>
  </cols>
  <sheetData>
    <row r="4" spans="2:11" x14ac:dyDescent="0.3">
      <c r="C4" s="9" t="s">
        <v>358</v>
      </c>
      <c r="D4" s="9" t="s">
        <v>359</v>
      </c>
    </row>
    <row r="5" spans="2:11" x14ac:dyDescent="0.3">
      <c r="B5" s="9" t="s">
        <v>357</v>
      </c>
      <c r="C5" s="10">
        <v>0.1</v>
      </c>
      <c r="D5" s="10">
        <v>0.09</v>
      </c>
      <c r="E5" s="7">
        <v>200000</v>
      </c>
      <c r="F5" s="11">
        <f>E5*(1-(C5+D5))</f>
        <v>162000</v>
      </c>
      <c r="I5" s="7">
        <v>100000</v>
      </c>
      <c r="J5" s="12">
        <v>200000</v>
      </c>
      <c r="K5" s="7">
        <v>300000</v>
      </c>
    </row>
    <row r="6" spans="2:11" x14ac:dyDescent="0.3">
      <c r="B6" s="9" t="s">
        <v>360</v>
      </c>
      <c r="C6" s="10">
        <v>0.14000000000000001</v>
      </c>
      <c r="D6" s="10">
        <v>0.15</v>
      </c>
      <c r="E6" s="7">
        <v>228000</v>
      </c>
      <c r="F6" s="11">
        <f>E6*(1-(C6+D6))</f>
        <v>161880</v>
      </c>
      <c r="H6" s="8">
        <v>0.14000000000000001</v>
      </c>
      <c r="I6" s="7">
        <f>I5+I5*H6</f>
        <v>114000</v>
      </c>
      <c r="J6" s="12">
        <f>J5+J5*H6</f>
        <v>228000</v>
      </c>
      <c r="K6" s="12">
        <f>K5+K5*H6</f>
        <v>342000</v>
      </c>
    </row>
    <row r="7" spans="2:11" x14ac:dyDescent="0.3">
      <c r="B7" s="9" t="s">
        <v>361</v>
      </c>
      <c r="E7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기준가격</vt:lpstr>
      <vt:lpstr>가격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상필 박</cp:lastModifiedBy>
  <dcterms:created xsi:type="dcterms:W3CDTF">2026-01-11T10:14:01Z</dcterms:created>
  <dcterms:modified xsi:type="dcterms:W3CDTF">2026-05-07T15:18:05Z</dcterms:modified>
</cp:coreProperties>
</file>